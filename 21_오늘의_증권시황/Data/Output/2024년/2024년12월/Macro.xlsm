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Dexter\Source\ALPACO8\RPA_Example\21_오늘의_증권시황_스크린샷\Data\Output\"/>
    </mc:Choice>
  </mc:AlternateContent>
  <xr:revisionPtr revIDLastSave="0" documentId="13_ncr:1_{DBD5B06B-9637-445E-947A-C1E65A61EE4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st" sheetId="7" r:id="rId1"/>
    <sheet name="환율조회" sheetId="1" r:id="rId2"/>
    <sheet name="용어설명" sheetId="2" r:id="rId3"/>
    <sheet name="국가 수출입" sheetId="5" r:id="rId4"/>
    <sheet name="품목 수출입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6" l="1"/>
  <c r="H22" i="6"/>
  <c r="I22" i="6"/>
  <c r="J22" i="6"/>
  <c r="K22" i="6"/>
  <c r="L22" i="6"/>
  <c r="M22" i="6"/>
  <c r="N22" i="6"/>
  <c r="O22" i="6"/>
  <c r="P22" i="6"/>
  <c r="Q22" i="6"/>
  <c r="R22" i="6"/>
  <c r="F22" i="6"/>
  <c r="G21" i="6"/>
  <c r="H21" i="6"/>
  <c r="I21" i="6"/>
  <c r="J21" i="6"/>
  <c r="K21" i="6"/>
  <c r="L21" i="6"/>
  <c r="M21" i="6"/>
  <c r="N21" i="6"/>
  <c r="O21" i="6"/>
  <c r="P21" i="6"/>
  <c r="Q21" i="6"/>
  <c r="R21" i="6"/>
  <c r="F21" i="6"/>
  <c r="G28" i="5"/>
  <c r="H28" i="5"/>
  <c r="I28" i="5"/>
  <c r="J28" i="5"/>
  <c r="K28" i="5"/>
  <c r="L28" i="5"/>
  <c r="M28" i="5"/>
  <c r="N28" i="5"/>
  <c r="O28" i="5"/>
  <c r="P28" i="5"/>
  <c r="Q28" i="5"/>
  <c r="R28" i="5"/>
  <c r="F28" i="5"/>
  <c r="G27" i="5"/>
  <c r="H27" i="5"/>
  <c r="I27" i="5"/>
  <c r="J27" i="5"/>
  <c r="K27" i="5"/>
  <c r="L27" i="5"/>
  <c r="M27" i="5"/>
  <c r="N27" i="5"/>
  <c r="O27" i="5"/>
  <c r="P27" i="5"/>
  <c r="Q27" i="5"/>
  <c r="R27" i="5"/>
  <c r="F27" i="5"/>
  <c r="G26" i="5"/>
  <c r="H26" i="5"/>
  <c r="I26" i="5"/>
  <c r="J26" i="5"/>
  <c r="K26" i="5"/>
  <c r="L26" i="5"/>
  <c r="M26" i="5"/>
  <c r="N26" i="5"/>
  <c r="O26" i="5"/>
  <c r="P26" i="5"/>
  <c r="Q26" i="5"/>
  <c r="R26" i="5"/>
  <c r="F26" i="5"/>
  <c r="G25" i="5"/>
  <c r="H25" i="5"/>
  <c r="I25" i="5"/>
  <c r="J25" i="5"/>
  <c r="K25" i="5"/>
  <c r="L25" i="5"/>
  <c r="M25" i="5"/>
  <c r="N25" i="5"/>
  <c r="O25" i="5"/>
  <c r="P25" i="5"/>
  <c r="Q25" i="5"/>
  <c r="R25" i="5"/>
  <c r="F25" i="5"/>
</calcChain>
</file>

<file path=xl/sharedStrings.xml><?xml version="1.0" encoding="utf-8"?>
<sst xmlns="http://schemas.openxmlformats.org/spreadsheetml/2006/main" count="294" uniqueCount="170">
  <si>
    <t>통화종류</t>
  </si>
  <si>
    <t>조회대상일</t>
    <phoneticPr fontId="4" type="noConversion"/>
  </si>
  <si>
    <t>조회일시</t>
    <phoneticPr fontId="4" type="noConversion"/>
  </si>
  <si>
    <t>현찰</t>
  </si>
  <si>
    <t>보내실때</t>
  </si>
  <si>
    <t>받으실때</t>
  </si>
  <si>
    <t>사실때</t>
  </si>
  <si>
    <t>파실때</t>
  </si>
  <si>
    <t>송금</t>
    <phoneticPr fontId="4" type="noConversion"/>
  </si>
  <si>
    <t>구분</t>
    <phoneticPr fontId="4" type="noConversion"/>
  </si>
  <si>
    <t>용어</t>
    <phoneticPr fontId="4" type="noConversion"/>
  </si>
  <si>
    <t>내용</t>
    <phoneticPr fontId="4" type="noConversion"/>
  </si>
  <si>
    <t>전체건수</t>
    <phoneticPr fontId="4" type="noConversion"/>
  </si>
  <si>
    <t>국가의 수출입(2022/2021)</t>
    <phoneticPr fontId="10" type="noConversion"/>
  </si>
  <si>
    <t>연도 내 최대금액</t>
    <phoneticPr fontId="10" type="noConversion"/>
  </si>
  <si>
    <t>연도 내 최소금액</t>
    <phoneticPr fontId="10" type="noConversion"/>
  </si>
  <si>
    <t>1월</t>
    <phoneticPr fontId="10" type="noConversion"/>
  </si>
  <si>
    <t>2월</t>
    <phoneticPr fontId="10" type="noConversion"/>
  </si>
  <si>
    <t>3월</t>
    <phoneticPr fontId="10" type="noConversion"/>
  </si>
  <si>
    <t>4월</t>
    <phoneticPr fontId="10" type="noConversion"/>
  </si>
  <si>
    <t>5월</t>
    <phoneticPr fontId="10" type="noConversion"/>
  </si>
  <si>
    <t>6월</t>
    <phoneticPr fontId="10" type="noConversion"/>
  </si>
  <si>
    <t>7월</t>
    <phoneticPr fontId="10" type="noConversion"/>
  </si>
  <si>
    <t>8월</t>
    <phoneticPr fontId="10" type="noConversion"/>
  </si>
  <si>
    <t>9월</t>
    <phoneticPr fontId="10" type="noConversion"/>
  </si>
  <si>
    <t>10월</t>
    <phoneticPr fontId="10" type="noConversion"/>
  </si>
  <si>
    <t>11월</t>
    <phoneticPr fontId="10" type="noConversion"/>
  </si>
  <si>
    <t>12월</t>
    <phoneticPr fontId="10" type="noConversion"/>
  </si>
  <si>
    <t>누계</t>
    <phoneticPr fontId="10" type="noConversion"/>
  </si>
  <si>
    <t>수출</t>
    <phoneticPr fontId="10" type="noConversion"/>
  </si>
  <si>
    <t>금액</t>
    <phoneticPr fontId="10" type="noConversion"/>
  </si>
  <si>
    <t>중량</t>
    <phoneticPr fontId="10" type="noConversion"/>
  </si>
  <si>
    <t>수입</t>
    <phoneticPr fontId="10" type="noConversion"/>
  </si>
  <si>
    <t>수지</t>
    <phoneticPr fontId="10" type="noConversion"/>
  </si>
  <si>
    <t>교역</t>
    <phoneticPr fontId="10" type="noConversion"/>
  </si>
  <si>
    <t>전년 대비</t>
    <phoneticPr fontId="10" type="noConversion"/>
  </si>
  <si>
    <t>수출(금액)</t>
    <phoneticPr fontId="10" type="noConversion"/>
  </si>
  <si>
    <t>수입(금액)</t>
    <phoneticPr fontId="10" type="noConversion"/>
  </si>
  <si>
    <t>품목의 수출입(2022/2021)</t>
    <phoneticPr fontId="10" type="noConversion"/>
  </si>
  <si>
    <t>품목명(코드)</t>
    <phoneticPr fontId="10" type="noConversion"/>
  </si>
  <si>
    <t>매매
기준율</t>
    <phoneticPr fontId="4" type="noConversion"/>
  </si>
  <si>
    <t>USD
환산율</t>
    <phoneticPr fontId="4" type="noConversion"/>
  </si>
  <si>
    <t>기간
최저환율</t>
    <phoneticPr fontId="4" type="noConversion"/>
  </si>
  <si>
    <t>기간
최고환율</t>
    <phoneticPr fontId="4" type="noConversion"/>
  </si>
  <si>
    <t>기간최고
-기간최저</t>
    <phoneticPr fontId="4" type="noConversion"/>
  </si>
  <si>
    <t>기간
평균환율</t>
    <phoneticPr fontId="4" type="noConversion"/>
  </si>
  <si>
    <t>기간
환율변동추이</t>
    <phoneticPr fontId="4" type="noConversion"/>
  </si>
  <si>
    <t>증감률</t>
    <phoneticPr fontId="10" type="noConversion"/>
  </si>
  <si>
    <t>2022 수출(증감-금액)</t>
    <phoneticPr fontId="10" type="noConversion"/>
  </si>
  <si>
    <t>2022 수입(증감-금액)</t>
    <phoneticPr fontId="10" type="noConversion"/>
  </si>
  <si>
    <t>2021 수출(증감-금액)</t>
    <phoneticPr fontId="10" type="noConversion"/>
  </si>
  <si>
    <t>2021 수입(증감-금액)</t>
    <phoneticPr fontId="10" type="noConversion"/>
  </si>
  <si>
    <t>환 율 정 보 (전 체 조 회)</t>
    <phoneticPr fontId="4" type="noConversion"/>
  </si>
  <si>
    <t>국가</t>
    <phoneticPr fontId="10" type="noConversion"/>
  </si>
  <si>
    <t>USD</t>
  </si>
  <si>
    <t>미국(달러)</t>
  </si>
  <si>
    <t>환율 변동추이 바로보기</t>
  </si>
  <si>
    <t>JPY</t>
  </si>
  <si>
    <t>일본(100엔)</t>
  </si>
  <si>
    <t>EUR</t>
  </si>
  <si>
    <t>유럽연합(유로)</t>
  </si>
  <si>
    <t>GBP</t>
  </si>
  <si>
    <t>영국(파운드)</t>
  </si>
  <si>
    <t>CHF</t>
  </si>
  <si>
    <t>스위스(프랑)</t>
  </si>
  <si>
    <t>CAD</t>
  </si>
  <si>
    <t>캐나다(달러)</t>
  </si>
  <si>
    <t>AUD</t>
  </si>
  <si>
    <t>호주(달러)</t>
  </si>
  <si>
    <t>NZD</t>
  </si>
  <si>
    <t>뉴질랜드(달러)</t>
  </si>
  <si>
    <t>HKD</t>
  </si>
  <si>
    <t>홍콩(달러)</t>
  </si>
  <si>
    <t>CNY</t>
  </si>
  <si>
    <t>중국(위안)</t>
  </si>
  <si>
    <t>SEK</t>
  </si>
  <si>
    <t>스웨덴(크로나)</t>
  </si>
  <si>
    <t>DKK</t>
  </si>
  <si>
    <t>덴마크(크로네)</t>
  </si>
  <si>
    <t>NOK</t>
  </si>
  <si>
    <t>노르웨이(크로네)</t>
  </si>
  <si>
    <t>SAR</t>
  </si>
  <si>
    <t>사우디아라비아(리얄)</t>
  </si>
  <si>
    <t>KWD</t>
  </si>
  <si>
    <t>쿠웨이트(디나르)</t>
  </si>
  <si>
    <t>BHD</t>
  </si>
  <si>
    <t>바레인(디나르)</t>
  </si>
  <si>
    <t>AED</t>
  </si>
  <si>
    <t>아랍에미리트(디르함)</t>
  </si>
  <si>
    <t>THB</t>
  </si>
  <si>
    <t>태국(바트)</t>
  </si>
  <si>
    <t>SGD</t>
  </si>
  <si>
    <t>싱가포르(달러)</t>
  </si>
  <si>
    <t>IDR</t>
  </si>
  <si>
    <t>인도네시아(100루피아)</t>
  </si>
  <si>
    <t>ZAR</t>
  </si>
  <si>
    <t>남아프리카공화국(랜드)</t>
  </si>
  <si>
    <t>RUB</t>
  </si>
  <si>
    <t>러시아(루블)</t>
  </si>
  <si>
    <t>HUF</t>
  </si>
  <si>
    <t>헝가리(포린트)</t>
  </si>
  <si>
    <t>PLN</t>
  </si>
  <si>
    <t>폴란드(즈워티)</t>
  </si>
  <si>
    <t>INR</t>
  </si>
  <si>
    <t>인도(루피)</t>
  </si>
  <si>
    <t>MYR</t>
  </si>
  <si>
    <t>말레이시아(링깃)</t>
  </si>
  <si>
    <t>PKR</t>
  </si>
  <si>
    <t>파키스탄(루피)</t>
  </si>
  <si>
    <t>BDT</t>
  </si>
  <si>
    <t>방글라데시(타카)</t>
  </si>
  <si>
    <t>PHP</t>
  </si>
  <si>
    <t>필리핀(페소)</t>
  </si>
  <si>
    <t>EGP</t>
  </si>
  <si>
    <t>이집트(파운드)</t>
  </si>
  <si>
    <t>MXN</t>
  </si>
  <si>
    <t>멕시코(페소)</t>
  </si>
  <si>
    <t>BRL</t>
  </si>
  <si>
    <t>브라질(레알)</t>
  </si>
  <si>
    <t>BND</t>
  </si>
  <si>
    <t>브루나이(달러)</t>
  </si>
  <si>
    <t>TWD</t>
  </si>
  <si>
    <t>대만(달러)</t>
  </si>
  <si>
    <t>ILS</t>
  </si>
  <si>
    <t>이스라엘(셰켈)</t>
  </si>
  <si>
    <t>JOD</t>
  </si>
  <si>
    <t>요르단(디나르)</t>
  </si>
  <si>
    <t>VND</t>
  </si>
  <si>
    <t>베트남(100동)</t>
  </si>
  <si>
    <t>KZT</t>
  </si>
  <si>
    <t>카자흐스탄(텡게)</t>
  </si>
  <si>
    <t>TRY</t>
  </si>
  <si>
    <t>터키(리라)</t>
  </si>
  <si>
    <t>CZK</t>
  </si>
  <si>
    <t>체코(코루나)</t>
  </si>
  <si>
    <t>MNT</t>
  </si>
  <si>
    <t>몽골(투그릭)</t>
  </si>
  <si>
    <t>-</t>
  </si>
  <si>
    <t>QAR</t>
  </si>
  <si>
    <t>카타르(리얄)</t>
  </si>
  <si>
    <t>CLP</t>
  </si>
  <si>
    <t>칠레(페소)</t>
  </si>
  <si>
    <t>LYD</t>
  </si>
  <si>
    <t>리비아(디나르)</t>
  </si>
  <si>
    <t>FJD</t>
  </si>
  <si>
    <t>피지(달러)</t>
  </si>
  <si>
    <t>LKR</t>
  </si>
  <si>
    <t>스리랑카(루피)</t>
  </si>
  <si>
    <t>KES</t>
  </si>
  <si>
    <t>케냐(실링)</t>
  </si>
  <si>
    <t>UZS</t>
  </si>
  <si>
    <t>우즈베키스탄(숨)</t>
  </si>
  <si>
    <t>KHR</t>
  </si>
  <si>
    <t>캄보디아(리엘)</t>
  </si>
  <si>
    <t>RON</t>
  </si>
  <si>
    <t>루마니아(레우)</t>
  </si>
  <si>
    <t>MOP</t>
  </si>
  <si>
    <t>마카오(파타카)</t>
  </si>
  <si>
    <t>ETB</t>
  </si>
  <si>
    <t>에티오피아(비르)</t>
  </si>
  <si>
    <t>NPR</t>
  </si>
  <si>
    <t>네팔(루피)</t>
  </si>
  <si>
    <t>MMK</t>
  </si>
  <si>
    <t>미얀마(짯)</t>
  </si>
  <si>
    <t>OMR</t>
  </si>
  <si>
    <t>오만(리얄)</t>
  </si>
  <si>
    <t>COP</t>
  </si>
  <si>
    <t>콜롬비아(페소)</t>
  </si>
  <si>
    <t>ARS</t>
  </si>
  <si>
    <t>아르헨티나(페소)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</si>
</sst>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000\-000"/>
    <numFmt numFmtId="178" formatCode="0.0"/>
  </numFmts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3.5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name val="굴림"/>
      <family val="3"/>
      <charset val="129"/>
    </font>
    <font>
      <sz val="8"/>
      <name val="맑은 고딕"/>
      <family val="2"/>
      <charset val="129"/>
      <scheme val="minor"/>
    </font>
    <font>
      <b/>
      <sz val="12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4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4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176" fontId="13" fillId="0" borderId="0" applyFont="0" applyFill="0" applyBorder="0" applyAlignment="0" applyProtection="0">
      <alignment vertical="center"/>
    </xf>
  </cellStyleXfs>
  <cellXfs count="106">
    <xf numFmtId="0" fontId="0" fillId="0" borderId="0" xfId="0"/>
    <xf numFmtId="0" fontId="0" fillId="0" borderId="0" xfId="0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/>
    </xf>
    <xf numFmtId="0" fontId="0" fillId="0" borderId="7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2" fillId="0" borderId="0" xfId="2" applyAlignment="1"/>
    <xf numFmtId="0" fontId="2" fillId="0" borderId="0" xfId="2">
      <alignment vertical="center"/>
    </xf>
    <xf numFmtId="0" fontId="8" fillId="4" borderId="16" xfId="2" applyFont="1" applyFill="1" applyBorder="1" applyAlignment="1">
      <alignment horizontal="center" vertical="center"/>
    </xf>
    <xf numFmtId="0" fontId="8" fillId="4" borderId="17" xfId="2" applyFont="1" applyFill="1" applyBorder="1" applyAlignment="1">
      <alignment horizontal="center" vertical="center"/>
    </xf>
    <xf numFmtId="0" fontId="8" fillId="4" borderId="15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5" borderId="7" xfId="2" applyFont="1" applyFill="1" applyBorder="1" applyAlignment="1">
      <alignment horizontal="center" vertical="center"/>
    </xf>
    <xf numFmtId="0" fontId="8" fillId="0" borderId="7" xfId="2" applyFont="1" applyBorder="1" applyAlignment="1">
      <alignment horizontal="center" vertical="center"/>
    </xf>
    <xf numFmtId="177" fontId="11" fillId="0" borderId="0" xfId="2" applyNumberFormat="1" applyFont="1" applyAlignment="1">
      <alignment vertical="center" wrapText="1"/>
    </xf>
    <xf numFmtId="0" fontId="0" fillId="0" borderId="7" xfId="0" applyBorder="1" applyAlignment="1">
      <alignment horizontal="center"/>
    </xf>
    <xf numFmtId="4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2" fillId="0" borderId="7" xfId="3" applyFont="1" applyBorder="1">
      <alignment vertical="center"/>
    </xf>
    <xf numFmtId="176" fontId="2" fillId="0" borderId="19" xfId="3" applyFont="1" applyBorder="1">
      <alignment vertical="center"/>
    </xf>
    <xf numFmtId="176" fontId="2" fillId="0" borderId="10" xfId="3" applyFont="1" applyBorder="1">
      <alignment vertical="center"/>
    </xf>
    <xf numFmtId="178" fontId="2" fillId="0" borderId="7" xfId="2" applyNumberFormat="1" applyBorder="1" applyAlignment="1">
      <alignment horizontal="center" vertical="center"/>
    </xf>
    <xf numFmtId="178" fontId="2" fillId="0" borderId="19" xfId="2" applyNumberFormat="1" applyBorder="1" applyAlignment="1">
      <alignment horizontal="center" vertical="center"/>
    </xf>
    <xf numFmtId="178" fontId="2" fillId="0" borderId="10" xfId="2" applyNumberFormat="1" applyBorder="1" applyAlignment="1">
      <alignment horizontal="center" vertical="center"/>
    </xf>
    <xf numFmtId="0" fontId="2" fillId="0" borderId="19" xfId="2" applyBorder="1" applyAlignment="1">
      <alignment horizontal="center" vertical="center"/>
    </xf>
    <xf numFmtId="176" fontId="2" fillId="0" borderId="27" xfId="3" applyFont="1" applyBorder="1">
      <alignment vertical="center"/>
    </xf>
    <xf numFmtId="176" fontId="2" fillId="0" borderId="28" xfId="3" applyFont="1" applyBorder="1">
      <alignment vertical="center"/>
    </xf>
    <xf numFmtId="176" fontId="2" fillId="0" borderId="29" xfId="3" applyFont="1" applyBorder="1">
      <alignment vertical="center"/>
    </xf>
    <xf numFmtId="176" fontId="2" fillId="0" borderId="19" xfId="3" applyFont="1" applyBorder="1" applyAlignment="1">
      <alignment vertical="center"/>
    </xf>
    <xf numFmtId="176" fontId="2" fillId="0" borderId="24" xfId="3" applyFont="1" applyBorder="1" applyAlignment="1">
      <alignment vertical="center"/>
    </xf>
    <xf numFmtId="176" fontId="2" fillId="0" borderId="30" xfId="3" applyFont="1" applyBorder="1">
      <alignment vertical="center"/>
    </xf>
    <xf numFmtId="176" fontId="2" fillId="0" borderId="34" xfId="3" applyFont="1" applyBorder="1">
      <alignment vertical="center"/>
    </xf>
    <xf numFmtId="176" fontId="2" fillId="0" borderId="35" xfId="3" applyFont="1" applyBorder="1">
      <alignment vertical="center"/>
    </xf>
    <xf numFmtId="178" fontId="2" fillId="0" borderId="40" xfId="2" applyNumberFormat="1" applyBorder="1" applyAlignment="1">
      <alignment horizontal="center" vertical="center"/>
    </xf>
    <xf numFmtId="178" fontId="2" fillId="0" borderId="41" xfId="2" applyNumberFormat="1" applyBorder="1" applyAlignment="1">
      <alignment horizontal="center" vertical="center"/>
    </xf>
    <xf numFmtId="178" fontId="2" fillId="0" borderId="42" xfId="2" applyNumberFormat="1" applyBorder="1" applyAlignment="1">
      <alignment horizontal="center" vertical="center"/>
    </xf>
    <xf numFmtId="176" fontId="2" fillId="0" borderId="45" xfId="3" applyFont="1" applyBorder="1">
      <alignment vertical="center"/>
    </xf>
    <xf numFmtId="176" fontId="2" fillId="0" borderId="46" xfId="3" applyFont="1" applyBorder="1">
      <alignment vertical="center"/>
    </xf>
    <xf numFmtId="176" fontId="2" fillId="0" borderId="45" xfId="3" applyFont="1" applyFill="1" applyBorder="1">
      <alignment vertical="center"/>
    </xf>
    <xf numFmtId="0" fontId="8" fillId="0" borderId="0" xfId="2" applyFont="1">
      <alignment vertical="center"/>
    </xf>
    <xf numFmtId="0" fontId="8" fillId="2" borderId="0" xfId="2" applyFont="1" applyFill="1" applyAlignment="1">
      <alignment horizontal="center" vertical="center"/>
    </xf>
    <xf numFmtId="0" fontId="8" fillId="3" borderId="0" xfId="2" applyFont="1" applyFill="1" applyAlignment="1">
      <alignment horizontal="center" vertical="center"/>
    </xf>
    <xf numFmtId="176" fontId="2" fillId="0" borderId="7" xfId="3" applyFont="1" applyFill="1" applyBorder="1" applyAlignment="1">
      <alignment vertical="center"/>
    </xf>
    <xf numFmtId="176" fontId="2" fillId="0" borderId="19" xfId="3" applyFont="1" applyFill="1" applyBorder="1" applyAlignment="1">
      <alignment vertical="center"/>
    </xf>
    <xf numFmtId="176" fontId="2" fillId="0" borderId="10" xfId="3" applyFont="1" applyFill="1" applyBorder="1" applyAlignment="1">
      <alignment vertical="center"/>
    </xf>
    <xf numFmtId="176" fontId="2" fillId="0" borderId="23" xfId="3" applyFont="1" applyFill="1" applyBorder="1" applyAlignment="1">
      <alignment vertical="center"/>
    </xf>
    <xf numFmtId="176" fontId="2" fillId="0" borderId="24" xfId="3" applyFont="1" applyFill="1" applyBorder="1" applyAlignment="1">
      <alignment vertical="center"/>
    </xf>
    <xf numFmtId="176" fontId="2" fillId="0" borderId="25" xfId="3" applyFont="1" applyFill="1" applyBorder="1" applyAlignment="1">
      <alignment vertical="center"/>
    </xf>
    <xf numFmtId="176" fontId="2" fillId="0" borderId="27" xfId="3" applyFont="1" applyFill="1" applyBorder="1">
      <alignment vertical="center"/>
    </xf>
    <xf numFmtId="176" fontId="2" fillId="0" borderId="28" xfId="3" applyFont="1" applyFill="1" applyBorder="1">
      <alignment vertical="center"/>
    </xf>
    <xf numFmtId="176" fontId="2" fillId="0" borderId="29" xfId="3" applyFont="1" applyFill="1" applyBorder="1">
      <alignment vertical="center"/>
    </xf>
    <xf numFmtId="176" fontId="2" fillId="0" borderId="7" xfId="3" applyFont="1" applyFill="1" applyBorder="1">
      <alignment vertical="center"/>
    </xf>
    <xf numFmtId="176" fontId="2" fillId="0" borderId="19" xfId="3" applyFont="1" applyFill="1" applyBorder="1">
      <alignment vertical="center"/>
    </xf>
    <xf numFmtId="176" fontId="2" fillId="0" borderId="10" xfId="3" applyFont="1" applyFill="1" applyBorder="1">
      <alignment vertical="center"/>
    </xf>
    <xf numFmtId="176" fontId="2" fillId="0" borderId="23" xfId="3" applyFont="1" applyFill="1" applyBorder="1">
      <alignment vertical="center"/>
    </xf>
    <xf numFmtId="176" fontId="2" fillId="0" borderId="24" xfId="3" applyFont="1" applyFill="1" applyBorder="1">
      <alignment vertical="center"/>
    </xf>
    <xf numFmtId="176" fontId="2" fillId="0" borderId="25" xfId="3" applyFont="1" applyFill="1" applyBorder="1">
      <alignment vertical="center"/>
    </xf>
    <xf numFmtId="176" fontId="2" fillId="0" borderId="34" xfId="3" applyFont="1" applyFill="1" applyBorder="1">
      <alignment vertical="center"/>
    </xf>
    <xf numFmtId="176" fontId="2" fillId="0" borderId="46" xfId="3" applyFont="1" applyFill="1" applyBorder="1">
      <alignment vertical="center"/>
    </xf>
    <xf numFmtId="176" fontId="2" fillId="0" borderId="35" xfId="3" applyFont="1" applyFill="1" applyBorder="1">
      <alignment vertical="center"/>
    </xf>
    <xf numFmtId="0" fontId="0" fillId="7" borderId="7" xfId="0" applyFill="1" applyBorder="1" applyAlignment="1">
      <alignment horizontal="center"/>
    </xf>
    <xf numFmtId="0" fontId="6" fillId="0" borderId="4" xfId="0" applyFont="1" applyBorder="1" applyAlignment="1">
      <alignment horizontal="center" vertical="center" wrapText="1"/>
    </xf>
    <xf numFmtId="0" fontId="6" fillId="0" borderId="47" xfId="0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1" fillId="0" borderId="43" xfId="2" applyFont="1" applyBorder="1" applyAlignment="1">
      <alignment horizontal="center" vertical="center"/>
    </xf>
    <xf numFmtId="0" fontId="2" fillId="0" borderId="10" xfId="2" applyBorder="1" applyAlignment="1">
      <alignment horizontal="center" vertical="center"/>
    </xf>
    <xf numFmtId="0" fontId="2" fillId="4" borderId="21" xfId="2" applyFill="1" applyBorder="1" applyAlignment="1">
      <alignment horizontal="center" vertical="center" textRotation="255"/>
    </xf>
    <xf numFmtId="0" fontId="2" fillId="4" borderId="23" xfId="2" applyFill="1" applyBorder="1" applyAlignment="1">
      <alignment horizontal="center" vertical="center" textRotation="255"/>
    </xf>
    <xf numFmtId="0" fontId="2" fillId="0" borderId="7" xfId="2" applyBorder="1" applyAlignment="1">
      <alignment horizontal="center" vertical="center"/>
    </xf>
    <xf numFmtId="0" fontId="2" fillId="0" borderId="23" xfId="2" applyBorder="1" applyAlignment="1">
      <alignment horizontal="center" vertical="center"/>
    </xf>
    <xf numFmtId="0" fontId="2" fillId="6" borderId="31" xfId="2" applyFill="1" applyBorder="1" applyAlignment="1">
      <alignment horizontal="center" vertical="center"/>
    </xf>
    <xf numFmtId="0" fontId="2" fillId="6" borderId="32" xfId="2" applyFill="1" applyBorder="1" applyAlignment="1">
      <alignment horizontal="center" vertical="center"/>
    </xf>
    <xf numFmtId="0" fontId="2" fillId="6" borderId="36" xfId="2" applyFill="1" applyBorder="1" applyAlignment="1">
      <alignment horizontal="center" vertical="center"/>
    </xf>
    <xf numFmtId="0" fontId="2" fillId="6" borderId="37" xfId="2" applyFill="1" applyBorder="1" applyAlignment="1">
      <alignment horizontal="center" vertical="center"/>
    </xf>
    <xf numFmtId="0" fontId="2" fillId="6" borderId="38" xfId="2" applyFill="1" applyBorder="1" applyAlignment="1">
      <alignment horizontal="center" vertical="center"/>
    </xf>
    <xf numFmtId="0" fontId="2" fillId="6" borderId="39" xfId="2" applyFill="1" applyBorder="1" applyAlignment="1">
      <alignment horizontal="center" vertical="center"/>
    </xf>
    <xf numFmtId="0" fontId="8" fillId="0" borderId="33" xfId="2" applyFont="1" applyBorder="1" applyAlignment="1">
      <alignment horizontal="center" vertical="center"/>
    </xf>
    <xf numFmtId="0" fontId="2" fillId="0" borderId="34" xfId="2" applyBorder="1" applyAlignment="1">
      <alignment horizontal="center" vertical="center"/>
    </xf>
    <xf numFmtId="0" fontId="2" fillId="4" borderId="26" xfId="2" applyFill="1" applyBorder="1" applyAlignment="1">
      <alignment horizontal="center" vertical="center" textRotation="255"/>
    </xf>
    <xf numFmtId="0" fontId="2" fillId="4" borderId="20" xfId="2" applyFill="1" applyBorder="1" applyAlignment="1">
      <alignment horizontal="center" vertical="center" textRotation="255"/>
    </xf>
    <xf numFmtId="0" fontId="2" fillId="4" borderId="22" xfId="2" applyFill="1" applyBorder="1" applyAlignment="1">
      <alignment horizontal="center" vertical="center" textRotation="255"/>
    </xf>
    <xf numFmtId="0" fontId="2" fillId="4" borderId="16" xfId="2" applyFill="1" applyBorder="1" applyAlignment="1">
      <alignment horizontal="center" vertical="center" textRotation="255"/>
    </xf>
    <xf numFmtId="0" fontId="2" fillId="4" borderId="7" xfId="2" applyFill="1" applyBorder="1" applyAlignment="1">
      <alignment horizontal="center" vertical="center" textRotation="255"/>
    </xf>
    <xf numFmtId="0" fontId="2" fillId="0" borderId="27" xfId="2" applyBorder="1" applyAlignment="1">
      <alignment horizontal="center" vertical="center"/>
    </xf>
    <xf numFmtId="0" fontId="1" fillId="0" borderId="7" xfId="2" applyFont="1" applyBorder="1" applyAlignment="1">
      <alignment horizontal="center" vertical="center"/>
    </xf>
    <xf numFmtId="0" fontId="9" fillId="0" borderId="11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center" vertical="center" wrapText="1"/>
    </xf>
    <xf numFmtId="0" fontId="11" fillId="0" borderId="13" xfId="2" applyFont="1" applyBorder="1" applyAlignment="1">
      <alignment horizontal="center" vertical="center" wrapText="1"/>
    </xf>
    <xf numFmtId="0" fontId="12" fillId="8" borderId="14" xfId="2" applyFont="1" applyFill="1" applyBorder="1" applyAlignment="1">
      <alignment horizontal="center" vertical="center"/>
    </xf>
    <xf numFmtId="0" fontId="2" fillId="8" borderId="15" xfId="2" applyFill="1" applyBorder="1" applyAlignment="1">
      <alignment horizontal="center" vertical="center"/>
    </xf>
    <xf numFmtId="0" fontId="2" fillId="8" borderId="16" xfId="2" applyFill="1" applyBorder="1" applyAlignment="1">
      <alignment horizontal="center" vertical="center"/>
    </xf>
    <xf numFmtId="0" fontId="2" fillId="4" borderId="18" xfId="2" applyFill="1" applyBorder="1" applyAlignment="1">
      <alignment horizontal="center" vertical="center" textRotation="255"/>
    </xf>
    <xf numFmtId="0" fontId="8" fillId="8" borderId="15" xfId="2" applyFont="1" applyFill="1" applyBorder="1" applyAlignment="1">
      <alignment horizontal="center" vertical="center"/>
    </xf>
    <xf numFmtId="0" fontId="8" fillId="8" borderId="16" xfId="2" applyFont="1" applyFill="1" applyBorder="1" applyAlignment="1">
      <alignment horizontal="center" vertical="center"/>
    </xf>
    <xf numFmtId="0" fontId="1" fillId="0" borderId="40" xfId="2" applyFont="1" applyBorder="1" applyAlignment="1">
      <alignment horizontal="center" vertical="center"/>
    </xf>
  </cellXfs>
  <cellStyles count="4">
    <cellStyle name="쉼표 [0]" xfId="3" builtinId="6"/>
    <cellStyle name="표준" xfId="0" builtinId="0"/>
    <cellStyle name="표준 2" xfId="1" xr:uid="{98891F10-48BB-4803-BEC0-11DEEABABEE6}"/>
    <cellStyle name="표준 3" xfId="2" xr:uid="{0D1A6E3F-1624-4851-B3BF-072A6C9B2F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15240</xdr:colOff>
      <xdr:row>6</xdr:row>
      <xdr:rowOff>15240</xdr:rowOff>
    </xdr:from>
    <xdr:to>
      <xdr:col>13</xdr:col>
      <xdr:colOff>17145</xdr:colOff>
      <xdr:row>7</xdr:row>
      <xdr:rowOff>15240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932C89F-FB43-FB9F-38A0-7A757D9F3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1377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7</xdr:row>
      <xdr:rowOff>15240</xdr:rowOff>
    </xdr:from>
    <xdr:to>
      <xdr:col>13</xdr:col>
      <xdr:colOff>17145</xdr:colOff>
      <xdr:row>8</xdr:row>
      <xdr:rowOff>15240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F6F9AD5-BF41-208E-9B7B-665A5AC5D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2672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8</xdr:row>
      <xdr:rowOff>15240</xdr:rowOff>
    </xdr:from>
    <xdr:to>
      <xdr:col>13</xdr:col>
      <xdr:colOff>17145</xdr:colOff>
      <xdr:row>9</xdr:row>
      <xdr:rowOff>15240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E4E7983E-87EE-C79D-0472-8828D32F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3968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9</xdr:row>
      <xdr:rowOff>15240</xdr:rowOff>
    </xdr:from>
    <xdr:to>
      <xdr:col>13</xdr:col>
      <xdr:colOff>17145</xdr:colOff>
      <xdr:row>10</xdr:row>
      <xdr:rowOff>15240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1A4AFE9C-E671-57B9-A652-EB7736DC1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5263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10</xdr:row>
      <xdr:rowOff>15240</xdr:rowOff>
    </xdr:from>
    <xdr:to>
      <xdr:col>13</xdr:col>
      <xdr:colOff>17145</xdr:colOff>
      <xdr:row>11</xdr:row>
      <xdr:rowOff>15240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2788415E-98BC-1CA2-D9B1-548FB9F19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6558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11</xdr:row>
      <xdr:rowOff>15240</xdr:rowOff>
    </xdr:from>
    <xdr:to>
      <xdr:col>13</xdr:col>
      <xdr:colOff>17145</xdr:colOff>
      <xdr:row>12</xdr:row>
      <xdr:rowOff>15240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A4C43D89-BBBA-AA13-F841-8459B09A1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7854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12</xdr:row>
      <xdr:rowOff>15240</xdr:rowOff>
    </xdr:from>
    <xdr:to>
      <xdr:col>13</xdr:col>
      <xdr:colOff>17145</xdr:colOff>
      <xdr:row>13</xdr:row>
      <xdr:rowOff>15240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6B9A0E43-2071-BF4B-F3DA-C3356A8B3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9149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13</xdr:row>
      <xdr:rowOff>15240</xdr:rowOff>
    </xdr:from>
    <xdr:to>
      <xdr:col>13</xdr:col>
      <xdr:colOff>17145</xdr:colOff>
      <xdr:row>14</xdr:row>
      <xdr:rowOff>15240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1A0DF088-C60A-153A-727B-580E151FB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10445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14</xdr:row>
      <xdr:rowOff>15240</xdr:rowOff>
    </xdr:from>
    <xdr:to>
      <xdr:col>13</xdr:col>
      <xdr:colOff>17145</xdr:colOff>
      <xdr:row>15</xdr:row>
      <xdr:rowOff>15240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FDE44917-78B6-6685-C93B-3EC330DA7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11740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15</xdr:row>
      <xdr:rowOff>15240</xdr:rowOff>
    </xdr:from>
    <xdr:to>
      <xdr:col>13</xdr:col>
      <xdr:colOff>17145</xdr:colOff>
      <xdr:row>16</xdr:row>
      <xdr:rowOff>15240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9ADF52B9-B4A8-57C7-3EE7-0365DBCCB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13035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16</xdr:row>
      <xdr:rowOff>15240</xdr:rowOff>
    </xdr:from>
    <xdr:to>
      <xdr:col>13</xdr:col>
      <xdr:colOff>17145</xdr:colOff>
      <xdr:row>17</xdr:row>
      <xdr:rowOff>15240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7A76D2A-CE34-D494-D8CF-50551BA99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14331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17</xdr:row>
      <xdr:rowOff>15240</xdr:rowOff>
    </xdr:from>
    <xdr:to>
      <xdr:col>13</xdr:col>
      <xdr:colOff>17145</xdr:colOff>
      <xdr:row>18</xdr:row>
      <xdr:rowOff>15240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5F29E74-91A3-B538-429A-695B83B5B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15626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18</xdr:row>
      <xdr:rowOff>15240</xdr:rowOff>
    </xdr:from>
    <xdr:to>
      <xdr:col>13</xdr:col>
      <xdr:colOff>17145</xdr:colOff>
      <xdr:row>19</xdr:row>
      <xdr:rowOff>15240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7698B75A-0437-CDC5-4D3B-02A2735FF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16922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19</xdr:row>
      <xdr:rowOff>15240</xdr:rowOff>
    </xdr:from>
    <xdr:to>
      <xdr:col>13</xdr:col>
      <xdr:colOff>17145</xdr:colOff>
      <xdr:row>20</xdr:row>
      <xdr:rowOff>15240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A1AF0E9E-129C-FDB3-44B7-214696D35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18217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20</xdr:row>
      <xdr:rowOff>15240</xdr:rowOff>
    </xdr:from>
    <xdr:to>
      <xdr:col>13</xdr:col>
      <xdr:colOff>17145</xdr:colOff>
      <xdr:row>21</xdr:row>
      <xdr:rowOff>15240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B97C7173-163D-67D3-57CB-08F7DA6B4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19512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21</xdr:row>
      <xdr:rowOff>15240</xdr:rowOff>
    </xdr:from>
    <xdr:to>
      <xdr:col>13</xdr:col>
      <xdr:colOff>17145</xdr:colOff>
      <xdr:row>22</xdr:row>
      <xdr:rowOff>15240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0C7AB58-07F8-A539-48D9-609FF46AA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20808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22</xdr:row>
      <xdr:rowOff>15240</xdr:rowOff>
    </xdr:from>
    <xdr:to>
      <xdr:col>13</xdr:col>
      <xdr:colOff>17145</xdr:colOff>
      <xdr:row>23</xdr:row>
      <xdr:rowOff>15240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8F23BCAB-3509-079B-BEE3-8EB65A603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22103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23</xdr:row>
      <xdr:rowOff>15240</xdr:rowOff>
    </xdr:from>
    <xdr:to>
      <xdr:col>13</xdr:col>
      <xdr:colOff>17145</xdr:colOff>
      <xdr:row>24</xdr:row>
      <xdr:rowOff>15240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234E7A86-C46F-A9EC-66C0-3F558679B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23399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24</xdr:row>
      <xdr:rowOff>15240</xdr:rowOff>
    </xdr:from>
    <xdr:to>
      <xdr:col>13</xdr:col>
      <xdr:colOff>17145</xdr:colOff>
      <xdr:row>25</xdr:row>
      <xdr:rowOff>15240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DE180856-EAB9-C13A-C92B-510F87447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24694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25</xdr:row>
      <xdr:rowOff>15240</xdr:rowOff>
    </xdr:from>
    <xdr:to>
      <xdr:col>13</xdr:col>
      <xdr:colOff>17145</xdr:colOff>
      <xdr:row>26</xdr:row>
      <xdr:rowOff>15240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A9648B75-31F7-EDDC-EC3B-BB38B59C1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25989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26</xdr:row>
      <xdr:rowOff>15240</xdr:rowOff>
    </xdr:from>
    <xdr:to>
      <xdr:col>13</xdr:col>
      <xdr:colOff>17145</xdr:colOff>
      <xdr:row>27</xdr:row>
      <xdr:rowOff>15240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EE5CB616-2D83-CECA-FBDB-02250F4F8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27285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27</xdr:row>
      <xdr:rowOff>15240</xdr:rowOff>
    </xdr:from>
    <xdr:to>
      <xdr:col>13</xdr:col>
      <xdr:colOff>17145</xdr:colOff>
      <xdr:row>28</xdr:row>
      <xdr:rowOff>15240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3BFA6478-3687-1EA0-479E-20B83F845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28580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28</xdr:row>
      <xdr:rowOff>15240</xdr:rowOff>
    </xdr:from>
    <xdr:to>
      <xdr:col>13</xdr:col>
      <xdr:colOff>17145</xdr:colOff>
      <xdr:row>29</xdr:row>
      <xdr:rowOff>15240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89688EF3-24CC-3B83-E971-94D1141B0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29876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29</xdr:row>
      <xdr:rowOff>15240</xdr:rowOff>
    </xdr:from>
    <xdr:to>
      <xdr:col>13</xdr:col>
      <xdr:colOff>17145</xdr:colOff>
      <xdr:row>30</xdr:row>
      <xdr:rowOff>15240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53C47BBE-A6ED-6837-700F-7CE69468E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31171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30</xdr:row>
      <xdr:rowOff>15240</xdr:rowOff>
    </xdr:from>
    <xdr:to>
      <xdr:col>13</xdr:col>
      <xdr:colOff>17145</xdr:colOff>
      <xdr:row>31</xdr:row>
      <xdr:rowOff>15240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79143AFC-1F3A-CE07-9BCF-42E9BF704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32466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31</xdr:row>
      <xdr:rowOff>15240</xdr:rowOff>
    </xdr:from>
    <xdr:to>
      <xdr:col>13</xdr:col>
      <xdr:colOff>17145</xdr:colOff>
      <xdr:row>32</xdr:row>
      <xdr:rowOff>15240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5E25D68-2707-3EEE-A55A-55E7733D9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33762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32</xdr:row>
      <xdr:rowOff>15240</xdr:rowOff>
    </xdr:from>
    <xdr:to>
      <xdr:col>13</xdr:col>
      <xdr:colOff>17145</xdr:colOff>
      <xdr:row>33</xdr:row>
      <xdr:rowOff>15240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370D3DB-4FD1-8F97-2780-18BA8AC38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35057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33</xdr:row>
      <xdr:rowOff>15240</xdr:rowOff>
    </xdr:from>
    <xdr:to>
      <xdr:col>13</xdr:col>
      <xdr:colOff>17145</xdr:colOff>
      <xdr:row>34</xdr:row>
      <xdr:rowOff>15240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4A2E598F-3606-C28A-7208-B62978150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36353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34</xdr:row>
      <xdr:rowOff>15240</xdr:rowOff>
    </xdr:from>
    <xdr:to>
      <xdr:col>13</xdr:col>
      <xdr:colOff>17145</xdr:colOff>
      <xdr:row>35</xdr:row>
      <xdr:rowOff>15240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803D67BA-D8C9-63DF-36DD-CC8704BFF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37648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35</xdr:row>
      <xdr:rowOff>15240</xdr:rowOff>
    </xdr:from>
    <xdr:to>
      <xdr:col>13</xdr:col>
      <xdr:colOff>17145</xdr:colOff>
      <xdr:row>36</xdr:row>
      <xdr:rowOff>15240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5267B825-8717-A5E3-4686-2E4C59A2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38943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36</xdr:row>
      <xdr:rowOff>15240</xdr:rowOff>
    </xdr:from>
    <xdr:to>
      <xdr:col>13</xdr:col>
      <xdr:colOff>17145</xdr:colOff>
      <xdr:row>37</xdr:row>
      <xdr:rowOff>15240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A69D3450-98B1-5A7A-A2E9-669B6BC36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40239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37</xdr:row>
      <xdr:rowOff>15240</xdr:rowOff>
    </xdr:from>
    <xdr:to>
      <xdr:col>13</xdr:col>
      <xdr:colOff>17145</xdr:colOff>
      <xdr:row>38</xdr:row>
      <xdr:rowOff>15240</xdr:rowOff>
    </xdr:to>
    <xdr:pic>
      <xdr:nvPicPr>
        <xdr:cNvPr id="65" name="그림 64">
          <a:extLst>
            <a:ext uri="{FF2B5EF4-FFF2-40B4-BE49-F238E27FC236}">
              <a16:creationId xmlns:a16="http://schemas.microsoft.com/office/drawing/2014/main" id="{564B7CC9-BF52-8500-0029-9CC81138F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41534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38</xdr:row>
      <xdr:rowOff>15240</xdr:rowOff>
    </xdr:from>
    <xdr:to>
      <xdr:col>13</xdr:col>
      <xdr:colOff>17145</xdr:colOff>
      <xdr:row>39</xdr:row>
      <xdr:rowOff>15240</xdr:rowOff>
    </xdr:to>
    <xdr:pic>
      <xdr:nvPicPr>
        <xdr:cNvPr id="67" name="그림 66">
          <a:extLst>
            <a:ext uri="{FF2B5EF4-FFF2-40B4-BE49-F238E27FC236}">
              <a16:creationId xmlns:a16="http://schemas.microsoft.com/office/drawing/2014/main" id="{50840728-B010-59B1-04B8-1F088CD76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42830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39</xdr:row>
      <xdr:rowOff>15240</xdr:rowOff>
    </xdr:from>
    <xdr:to>
      <xdr:col>13</xdr:col>
      <xdr:colOff>17145</xdr:colOff>
      <xdr:row>40</xdr:row>
      <xdr:rowOff>15240</xdr:rowOff>
    </xdr:to>
    <xdr:pic>
      <xdr:nvPicPr>
        <xdr:cNvPr id="69" name="그림 68">
          <a:extLst>
            <a:ext uri="{FF2B5EF4-FFF2-40B4-BE49-F238E27FC236}">
              <a16:creationId xmlns:a16="http://schemas.microsoft.com/office/drawing/2014/main" id="{ED36E301-FB06-A863-DE0A-634BDBF7A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44125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40</xdr:row>
      <xdr:rowOff>15240</xdr:rowOff>
    </xdr:from>
    <xdr:to>
      <xdr:col>13</xdr:col>
      <xdr:colOff>17145</xdr:colOff>
      <xdr:row>41</xdr:row>
      <xdr:rowOff>15240</xdr:rowOff>
    </xdr:to>
    <xdr:pic>
      <xdr:nvPicPr>
        <xdr:cNvPr id="71" name="그림 70">
          <a:extLst>
            <a:ext uri="{FF2B5EF4-FFF2-40B4-BE49-F238E27FC236}">
              <a16:creationId xmlns:a16="http://schemas.microsoft.com/office/drawing/2014/main" id="{C790567C-957D-EB26-48C1-7BC273EDE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45420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41</xdr:row>
      <xdr:rowOff>15240</xdr:rowOff>
    </xdr:from>
    <xdr:to>
      <xdr:col>13</xdr:col>
      <xdr:colOff>17145</xdr:colOff>
      <xdr:row>42</xdr:row>
      <xdr:rowOff>15240</xdr:rowOff>
    </xdr:to>
    <xdr:pic>
      <xdr:nvPicPr>
        <xdr:cNvPr id="73" name="그림 72">
          <a:extLst>
            <a:ext uri="{FF2B5EF4-FFF2-40B4-BE49-F238E27FC236}">
              <a16:creationId xmlns:a16="http://schemas.microsoft.com/office/drawing/2014/main" id="{398D6336-202F-DC4E-5BA9-45433A12A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46716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42</xdr:row>
      <xdr:rowOff>15240</xdr:rowOff>
    </xdr:from>
    <xdr:to>
      <xdr:col>13</xdr:col>
      <xdr:colOff>17145</xdr:colOff>
      <xdr:row>43</xdr:row>
      <xdr:rowOff>15240</xdr:rowOff>
    </xdr:to>
    <xdr:pic>
      <xdr:nvPicPr>
        <xdr:cNvPr id="75" name="그림 74">
          <a:extLst>
            <a:ext uri="{FF2B5EF4-FFF2-40B4-BE49-F238E27FC236}">
              <a16:creationId xmlns:a16="http://schemas.microsoft.com/office/drawing/2014/main" id="{47CCA893-6296-2745-6F5C-1774B4C27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48011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43</xdr:row>
      <xdr:rowOff>15240</xdr:rowOff>
    </xdr:from>
    <xdr:to>
      <xdr:col>13</xdr:col>
      <xdr:colOff>17145</xdr:colOff>
      <xdr:row>44</xdr:row>
      <xdr:rowOff>15240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F63C53CD-5591-2356-FCA9-872DC938F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49307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44</xdr:row>
      <xdr:rowOff>15240</xdr:rowOff>
    </xdr:from>
    <xdr:to>
      <xdr:col>13</xdr:col>
      <xdr:colOff>17145</xdr:colOff>
      <xdr:row>45</xdr:row>
      <xdr:rowOff>15240</xdr:rowOff>
    </xdr:to>
    <xdr:pic>
      <xdr:nvPicPr>
        <xdr:cNvPr id="79" name="그림 78">
          <a:extLst>
            <a:ext uri="{FF2B5EF4-FFF2-40B4-BE49-F238E27FC236}">
              <a16:creationId xmlns:a16="http://schemas.microsoft.com/office/drawing/2014/main" id="{CFE07ACE-252F-C21E-F446-382C3ED88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50602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45</xdr:row>
      <xdr:rowOff>15240</xdr:rowOff>
    </xdr:from>
    <xdr:to>
      <xdr:col>13</xdr:col>
      <xdr:colOff>17145</xdr:colOff>
      <xdr:row>46</xdr:row>
      <xdr:rowOff>15240</xdr:rowOff>
    </xdr:to>
    <xdr:pic>
      <xdr:nvPicPr>
        <xdr:cNvPr id="81" name="그림 80">
          <a:extLst>
            <a:ext uri="{FF2B5EF4-FFF2-40B4-BE49-F238E27FC236}">
              <a16:creationId xmlns:a16="http://schemas.microsoft.com/office/drawing/2014/main" id="{B05535C1-354F-87B5-B9B7-4F34F15B1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51897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46</xdr:row>
      <xdr:rowOff>15240</xdr:rowOff>
    </xdr:from>
    <xdr:to>
      <xdr:col>13</xdr:col>
      <xdr:colOff>17145</xdr:colOff>
      <xdr:row>47</xdr:row>
      <xdr:rowOff>15240</xdr:rowOff>
    </xdr:to>
    <xdr:pic>
      <xdr:nvPicPr>
        <xdr:cNvPr id="83" name="그림 82">
          <a:extLst>
            <a:ext uri="{FF2B5EF4-FFF2-40B4-BE49-F238E27FC236}">
              <a16:creationId xmlns:a16="http://schemas.microsoft.com/office/drawing/2014/main" id="{FCF3931D-EE86-1AEE-7243-829D174C9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53193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47</xdr:row>
      <xdr:rowOff>15240</xdr:rowOff>
    </xdr:from>
    <xdr:to>
      <xdr:col>13</xdr:col>
      <xdr:colOff>17145</xdr:colOff>
      <xdr:row>48</xdr:row>
      <xdr:rowOff>15240</xdr:rowOff>
    </xdr:to>
    <xdr:pic>
      <xdr:nvPicPr>
        <xdr:cNvPr id="85" name="그림 84">
          <a:extLst>
            <a:ext uri="{FF2B5EF4-FFF2-40B4-BE49-F238E27FC236}">
              <a16:creationId xmlns:a16="http://schemas.microsoft.com/office/drawing/2014/main" id="{26539410-9A9C-7CF7-A42F-999314B38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54488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48</xdr:row>
      <xdr:rowOff>15240</xdr:rowOff>
    </xdr:from>
    <xdr:to>
      <xdr:col>13</xdr:col>
      <xdr:colOff>17145</xdr:colOff>
      <xdr:row>49</xdr:row>
      <xdr:rowOff>15240</xdr:rowOff>
    </xdr:to>
    <xdr:pic>
      <xdr:nvPicPr>
        <xdr:cNvPr id="87" name="그림 86">
          <a:extLst>
            <a:ext uri="{FF2B5EF4-FFF2-40B4-BE49-F238E27FC236}">
              <a16:creationId xmlns:a16="http://schemas.microsoft.com/office/drawing/2014/main" id="{FE99F522-EE38-E42F-E560-F170C8262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55784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49</xdr:row>
      <xdr:rowOff>15240</xdr:rowOff>
    </xdr:from>
    <xdr:to>
      <xdr:col>13</xdr:col>
      <xdr:colOff>17145</xdr:colOff>
      <xdr:row>50</xdr:row>
      <xdr:rowOff>15240</xdr:rowOff>
    </xdr:to>
    <xdr:pic>
      <xdr:nvPicPr>
        <xdr:cNvPr id="89" name="그림 88">
          <a:extLst>
            <a:ext uri="{FF2B5EF4-FFF2-40B4-BE49-F238E27FC236}">
              <a16:creationId xmlns:a16="http://schemas.microsoft.com/office/drawing/2014/main" id="{AF81C7F4-96B4-3E0F-C93E-DD8F4332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57079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50</xdr:row>
      <xdr:rowOff>15240</xdr:rowOff>
    </xdr:from>
    <xdr:to>
      <xdr:col>13</xdr:col>
      <xdr:colOff>17145</xdr:colOff>
      <xdr:row>51</xdr:row>
      <xdr:rowOff>15240</xdr:rowOff>
    </xdr:to>
    <xdr:pic>
      <xdr:nvPicPr>
        <xdr:cNvPr id="91" name="그림 90">
          <a:extLst>
            <a:ext uri="{FF2B5EF4-FFF2-40B4-BE49-F238E27FC236}">
              <a16:creationId xmlns:a16="http://schemas.microsoft.com/office/drawing/2014/main" id="{579DBD0A-F8E1-53E1-625D-94A197839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58374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51</xdr:row>
      <xdr:rowOff>15240</xdr:rowOff>
    </xdr:from>
    <xdr:to>
      <xdr:col>13</xdr:col>
      <xdr:colOff>17145</xdr:colOff>
      <xdr:row>52</xdr:row>
      <xdr:rowOff>15240</xdr:rowOff>
    </xdr:to>
    <xdr:pic>
      <xdr:nvPicPr>
        <xdr:cNvPr id="93" name="그림 92">
          <a:extLst>
            <a:ext uri="{FF2B5EF4-FFF2-40B4-BE49-F238E27FC236}">
              <a16:creationId xmlns:a16="http://schemas.microsoft.com/office/drawing/2014/main" id="{A9E7C2A7-336A-EA50-A143-E45D7166D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59670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52</xdr:row>
      <xdr:rowOff>15240</xdr:rowOff>
    </xdr:from>
    <xdr:to>
      <xdr:col>13</xdr:col>
      <xdr:colOff>17145</xdr:colOff>
      <xdr:row>53</xdr:row>
      <xdr:rowOff>15240</xdr:rowOff>
    </xdr:to>
    <xdr:pic>
      <xdr:nvPicPr>
        <xdr:cNvPr id="95" name="그림 94">
          <a:extLst>
            <a:ext uri="{FF2B5EF4-FFF2-40B4-BE49-F238E27FC236}">
              <a16:creationId xmlns:a16="http://schemas.microsoft.com/office/drawing/2014/main" id="{75F00369-7466-31B6-B4A1-DE2967A74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60965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53</xdr:row>
      <xdr:rowOff>15240</xdr:rowOff>
    </xdr:from>
    <xdr:to>
      <xdr:col>13</xdr:col>
      <xdr:colOff>17145</xdr:colOff>
      <xdr:row>54</xdr:row>
      <xdr:rowOff>15240</xdr:rowOff>
    </xdr:to>
    <xdr:pic>
      <xdr:nvPicPr>
        <xdr:cNvPr id="97" name="그림 96">
          <a:extLst>
            <a:ext uri="{FF2B5EF4-FFF2-40B4-BE49-F238E27FC236}">
              <a16:creationId xmlns:a16="http://schemas.microsoft.com/office/drawing/2014/main" id="{7AC40928-CAA3-348F-16A5-6E213E3CB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62261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54</xdr:row>
      <xdr:rowOff>15240</xdr:rowOff>
    </xdr:from>
    <xdr:to>
      <xdr:col>13</xdr:col>
      <xdr:colOff>17145</xdr:colOff>
      <xdr:row>55</xdr:row>
      <xdr:rowOff>15240</xdr:rowOff>
    </xdr:to>
    <xdr:pic>
      <xdr:nvPicPr>
        <xdr:cNvPr id="99" name="그림 98">
          <a:extLst>
            <a:ext uri="{FF2B5EF4-FFF2-40B4-BE49-F238E27FC236}">
              <a16:creationId xmlns:a16="http://schemas.microsoft.com/office/drawing/2014/main" id="{BBD58D7B-D015-C3A6-5B8A-1523ED740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63556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55</xdr:row>
      <xdr:rowOff>15240</xdr:rowOff>
    </xdr:from>
    <xdr:to>
      <xdr:col>13</xdr:col>
      <xdr:colOff>17145</xdr:colOff>
      <xdr:row>56</xdr:row>
      <xdr:rowOff>15240</xdr:rowOff>
    </xdr:to>
    <xdr:pic>
      <xdr:nvPicPr>
        <xdr:cNvPr id="101" name="그림 100">
          <a:extLst>
            <a:ext uri="{FF2B5EF4-FFF2-40B4-BE49-F238E27FC236}">
              <a16:creationId xmlns:a16="http://schemas.microsoft.com/office/drawing/2014/main" id="{8E8658DD-5B09-28D7-BFD7-07409934F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64851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56</xdr:row>
      <xdr:rowOff>15240</xdr:rowOff>
    </xdr:from>
    <xdr:to>
      <xdr:col>13</xdr:col>
      <xdr:colOff>17145</xdr:colOff>
      <xdr:row>57</xdr:row>
      <xdr:rowOff>15240</xdr:rowOff>
    </xdr:to>
    <xdr:pic>
      <xdr:nvPicPr>
        <xdr:cNvPr id="103" name="그림 102">
          <a:extLst>
            <a:ext uri="{FF2B5EF4-FFF2-40B4-BE49-F238E27FC236}">
              <a16:creationId xmlns:a16="http://schemas.microsoft.com/office/drawing/2014/main" id="{F2D21923-C7E5-25CB-E47B-21191DB47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66147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57</xdr:row>
      <xdr:rowOff>15240</xdr:rowOff>
    </xdr:from>
    <xdr:to>
      <xdr:col>13</xdr:col>
      <xdr:colOff>17145</xdr:colOff>
      <xdr:row>58</xdr:row>
      <xdr:rowOff>15240</xdr:rowOff>
    </xdr:to>
    <xdr:pic>
      <xdr:nvPicPr>
        <xdr:cNvPr id="105" name="그림 104">
          <a:extLst>
            <a:ext uri="{FF2B5EF4-FFF2-40B4-BE49-F238E27FC236}">
              <a16:creationId xmlns:a16="http://schemas.microsoft.com/office/drawing/2014/main" id="{D996464D-A984-7C08-13CE-FA005244E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674427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58</xdr:row>
      <xdr:rowOff>15240</xdr:rowOff>
    </xdr:from>
    <xdr:to>
      <xdr:col>13</xdr:col>
      <xdr:colOff>17145</xdr:colOff>
      <xdr:row>59</xdr:row>
      <xdr:rowOff>15240</xdr:rowOff>
    </xdr:to>
    <xdr:pic>
      <xdr:nvPicPr>
        <xdr:cNvPr id="107" name="그림 106">
          <a:extLst>
            <a:ext uri="{FF2B5EF4-FFF2-40B4-BE49-F238E27FC236}">
              <a16:creationId xmlns:a16="http://schemas.microsoft.com/office/drawing/2014/main" id="{2003A090-7AA3-5541-D901-F5B12D78C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687381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59</xdr:row>
      <xdr:rowOff>15240</xdr:rowOff>
    </xdr:from>
    <xdr:to>
      <xdr:col>13</xdr:col>
      <xdr:colOff>17145</xdr:colOff>
      <xdr:row>60</xdr:row>
      <xdr:rowOff>15240</xdr:rowOff>
    </xdr:to>
    <xdr:pic>
      <xdr:nvPicPr>
        <xdr:cNvPr id="109" name="그림 108">
          <a:extLst>
            <a:ext uri="{FF2B5EF4-FFF2-40B4-BE49-F238E27FC236}">
              <a16:creationId xmlns:a16="http://schemas.microsoft.com/office/drawing/2014/main" id="{C80603A7-1060-6735-36F3-C27473D2F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700335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60</xdr:row>
      <xdr:rowOff>15240</xdr:rowOff>
    </xdr:from>
    <xdr:to>
      <xdr:col>13</xdr:col>
      <xdr:colOff>17145</xdr:colOff>
      <xdr:row>61</xdr:row>
      <xdr:rowOff>15240</xdr:rowOff>
    </xdr:to>
    <xdr:pic>
      <xdr:nvPicPr>
        <xdr:cNvPr id="111" name="그림 110">
          <a:extLst>
            <a:ext uri="{FF2B5EF4-FFF2-40B4-BE49-F238E27FC236}">
              <a16:creationId xmlns:a16="http://schemas.microsoft.com/office/drawing/2014/main" id="{54D86FC8-933D-56FA-39C9-25A6055B0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713289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61</xdr:row>
      <xdr:rowOff>15240</xdr:rowOff>
    </xdr:from>
    <xdr:to>
      <xdr:col>13</xdr:col>
      <xdr:colOff>17145</xdr:colOff>
      <xdr:row>62</xdr:row>
      <xdr:rowOff>15240</xdr:rowOff>
    </xdr:to>
    <xdr:pic>
      <xdr:nvPicPr>
        <xdr:cNvPr id="113" name="그림 112">
          <a:extLst>
            <a:ext uri="{FF2B5EF4-FFF2-40B4-BE49-F238E27FC236}">
              <a16:creationId xmlns:a16="http://schemas.microsoft.com/office/drawing/2014/main" id="{A3FF6F83-A806-C985-1DAC-D60CCAF6C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72624315"/>
          <a:ext cx="3954780" cy="1295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</xdr:colOff>
      <xdr:row>62</xdr:row>
      <xdr:rowOff>15240</xdr:rowOff>
    </xdr:from>
    <xdr:to>
      <xdr:col>13</xdr:col>
      <xdr:colOff>17145</xdr:colOff>
      <xdr:row>63</xdr:row>
      <xdr:rowOff>15240</xdr:rowOff>
    </xdr:to>
    <xdr:pic>
      <xdr:nvPicPr>
        <xdr:cNvPr id="115" name="그림 114">
          <a:extLst>
            <a:ext uri="{FF2B5EF4-FFF2-40B4-BE49-F238E27FC236}">
              <a16:creationId xmlns:a16="http://schemas.microsoft.com/office/drawing/2014/main" id="{1A829B15-0314-6ECF-D65F-3F3CCA153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6040" y="73919715"/>
          <a:ext cx="3954780" cy="1295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F2A63-EF59-4C05-BFFA-D13242BFCDE6}">
  <sheetPr codeName="Sheet5"/>
  <dimension ref="A1"/>
  <sheetViews>
    <sheetView tabSelected="1" workbookViewId="0">
      <selection activeCell="E21" sqref="E21"/>
    </sheetView>
  </sheetViews>
  <sheetFormatPr defaultRowHeight="16.5" x14ac:dyDescent="0.3"/>
  <cols>
    <col min="2" max="2" width="29.25" customWidth="1"/>
    <col min="5" max="5" width="29.25" customWidth="1"/>
    <col min="8" max="8" width="29.25" customWidth="1"/>
  </cols>
  <sheetData/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3"/>
  <sheetViews>
    <sheetView zoomScaleNormal="100" workbookViewId="0">
      <selection activeCell="N8" sqref="N8"/>
    </sheetView>
  </sheetViews>
  <sheetFormatPr defaultRowHeight="16.5" x14ac:dyDescent="0.3"/>
  <cols>
    <col min="2" max="2" width="22.75" bestFit="1" customWidth="1"/>
    <col min="9" max="12" width="0" hidden="1" customWidth="1"/>
    <col min="13" max="13" width="51.875" customWidth="1"/>
  </cols>
  <sheetData>
    <row r="1" spans="1:13" s="1" customFormat="1" ht="21" customHeight="1" x14ac:dyDescent="0.3">
      <c r="A1" s="68" t="s">
        <v>52</v>
      </c>
      <c r="B1" s="68"/>
      <c r="C1" s="68"/>
      <c r="D1" s="68"/>
      <c r="E1" s="68"/>
      <c r="F1" s="68"/>
      <c r="G1" s="68"/>
      <c r="H1" s="68"/>
    </row>
    <row r="2" spans="1:13" s="1" customFormat="1" x14ac:dyDescent="0.3">
      <c r="A2" s="69" t="s">
        <v>1</v>
      </c>
      <c r="B2" s="70"/>
      <c r="C2" s="70"/>
      <c r="D2" s="71"/>
      <c r="E2" s="69" t="s">
        <v>2</v>
      </c>
      <c r="F2" s="70"/>
      <c r="G2" s="70"/>
      <c r="H2" s="71"/>
    </row>
    <row r="3" spans="1:13" s="1" customFormat="1" x14ac:dyDescent="0.3">
      <c r="A3" s="72"/>
      <c r="B3" s="73"/>
      <c r="C3" s="73"/>
      <c r="D3" s="74"/>
      <c r="E3" s="72"/>
      <c r="F3" s="73"/>
      <c r="G3" s="73"/>
      <c r="H3" s="74"/>
    </row>
    <row r="5" spans="1:13" s="1" customFormat="1" x14ac:dyDescent="0.3">
      <c r="A5" s="64" t="s">
        <v>0</v>
      </c>
      <c r="B5" s="65"/>
      <c r="C5" s="61" t="s">
        <v>40</v>
      </c>
      <c r="D5" s="69" t="s">
        <v>8</v>
      </c>
      <c r="E5" s="71"/>
      <c r="F5" s="69" t="s">
        <v>3</v>
      </c>
      <c r="G5" s="71"/>
      <c r="H5" s="61" t="s">
        <v>41</v>
      </c>
      <c r="I5" s="61" t="s">
        <v>42</v>
      </c>
      <c r="J5" s="61" t="s">
        <v>43</v>
      </c>
      <c r="K5" s="61" t="s">
        <v>44</v>
      </c>
      <c r="L5" s="61" t="s">
        <v>45</v>
      </c>
      <c r="M5" s="61" t="s">
        <v>46</v>
      </c>
    </row>
    <row r="6" spans="1:13" s="1" customFormat="1" x14ac:dyDescent="0.3">
      <c r="A6" s="66"/>
      <c r="B6" s="67"/>
      <c r="C6" s="62"/>
      <c r="D6" s="2" t="s">
        <v>4</v>
      </c>
      <c r="E6" s="2" t="s">
        <v>5</v>
      </c>
      <c r="F6" s="2" t="s">
        <v>6</v>
      </c>
      <c r="G6" s="2" t="s">
        <v>7</v>
      </c>
      <c r="H6" s="62"/>
      <c r="I6" s="62"/>
      <c r="J6" s="63"/>
      <c r="K6" s="63"/>
      <c r="L6" s="63"/>
      <c r="M6" s="63"/>
    </row>
    <row r="7" spans="1:13" s="17" customFormat="1" ht="102" customHeight="1" x14ac:dyDescent="0.3">
      <c r="A7" s="16" t="s">
        <v>54</v>
      </c>
      <c r="B7" s="16" t="s">
        <v>55</v>
      </c>
      <c r="C7" s="16">
        <v>1365.9</v>
      </c>
      <c r="D7" s="16">
        <v>1379.1</v>
      </c>
      <c r="E7" s="16">
        <v>1352.7</v>
      </c>
      <c r="F7" s="16">
        <v>1389.8</v>
      </c>
      <c r="G7" s="16">
        <v>1342</v>
      </c>
      <c r="H7" s="16">
        <v>1</v>
      </c>
      <c r="I7" s="16" t="s">
        <v>56</v>
      </c>
      <c r="J7" s="16"/>
      <c r="K7" s="16"/>
      <c r="L7" s="16"/>
      <c r="M7" s="16"/>
    </row>
    <row r="8" spans="1:13" s="17" customFormat="1" ht="102" customHeight="1" x14ac:dyDescent="0.3">
      <c r="A8" s="16" t="s">
        <v>57</v>
      </c>
      <c r="B8" s="16" t="s">
        <v>58</v>
      </c>
      <c r="C8" s="16">
        <v>877.21</v>
      </c>
      <c r="D8" s="16">
        <v>885.71</v>
      </c>
      <c r="E8" s="16">
        <v>868.71</v>
      </c>
      <c r="F8" s="16">
        <v>892.56</v>
      </c>
      <c r="G8" s="16">
        <v>861.86</v>
      </c>
      <c r="H8" s="16">
        <v>0.64219999999999999</v>
      </c>
      <c r="I8" s="16" t="s">
        <v>56</v>
      </c>
      <c r="J8" s="16"/>
      <c r="K8" s="16"/>
      <c r="L8" s="16"/>
      <c r="M8" s="16"/>
    </row>
    <row r="9" spans="1:13" s="17" customFormat="1" ht="102" customHeight="1" x14ac:dyDescent="0.3">
      <c r="A9" s="16" t="s">
        <v>59</v>
      </c>
      <c r="B9" s="16" t="s">
        <v>60</v>
      </c>
      <c r="C9" s="16">
        <v>1472.58</v>
      </c>
      <c r="D9" s="16">
        <v>1487.3</v>
      </c>
      <c r="E9" s="16">
        <v>1457.86</v>
      </c>
      <c r="F9" s="16">
        <v>1501.73</v>
      </c>
      <c r="G9" s="16">
        <v>1443.43</v>
      </c>
      <c r="H9" s="16">
        <v>1.0781000000000001</v>
      </c>
      <c r="I9" s="16" t="s">
        <v>56</v>
      </c>
      <c r="J9" s="16"/>
      <c r="K9" s="16"/>
      <c r="L9" s="16"/>
      <c r="M9" s="5"/>
    </row>
    <row r="10" spans="1:13" s="17" customFormat="1" ht="102" customHeight="1" x14ac:dyDescent="0.3">
      <c r="A10" s="16" t="s">
        <v>61</v>
      </c>
      <c r="B10" s="16" t="s">
        <v>62</v>
      </c>
      <c r="C10" s="16">
        <v>1711.75</v>
      </c>
      <c r="D10" s="16">
        <v>1728.86</v>
      </c>
      <c r="E10" s="16">
        <v>1694.64</v>
      </c>
      <c r="F10" s="16">
        <v>1745.81</v>
      </c>
      <c r="G10" s="16">
        <v>1677.69</v>
      </c>
      <c r="H10" s="16">
        <v>1.2532000000000001</v>
      </c>
      <c r="I10" s="16" t="s">
        <v>56</v>
      </c>
      <c r="J10" s="16"/>
      <c r="K10" s="16"/>
      <c r="L10" s="16"/>
      <c r="M10" s="5"/>
    </row>
    <row r="11" spans="1:13" s="17" customFormat="1" ht="102" customHeight="1" x14ac:dyDescent="0.3">
      <c r="A11" s="16" t="s">
        <v>63</v>
      </c>
      <c r="B11" s="16" t="s">
        <v>64</v>
      </c>
      <c r="C11" s="16">
        <v>1507.28</v>
      </c>
      <c r="D11" s="16">
        <v>1522.35</v>
      </c>
      <c r="E11" s="16">
        <v>1492.21</v>
      </c>
      <c r="F11" s="16">
        <v>1537.27</v>
      </c>
      <c r="G11" s="16">
        <v>1477.29</v>
      </c>
      <c r="H11" s="16">
        <v>1.1034999999999999</v>
      </c>
      <c r="I11" s="16" t="s">
        <v>56</v>
      </c>
      <c r="J11" s="16"/>
      <c r="K11" s="16"/>
      <c r="L11" s="16"/>
      <c r="M11" s="5"/>
    </row>
    <row r="12" spans="1:13" s="17" customFormat="1" ht="102" customHeight="1" x14ac:dyDescent="0.3">
      <c r="A12" s="16" t="s">
        <v>65</v>
      </c>
      <c r="B12" s="16" t="s">
        <v>66</v>
      </c>
      <c r="C12" s="16">
        <v>998.25</v>
      </c>
      <c r="D12" s="16">
        <v>1008.23</v>
      </c>
      <c r="E12" s="16">
        <v>988.27</v>
      </c>
      <c r="F12" s="16">
        <v>1018.11</v>
      </c>
      <c r="G12" s="16">
        <v>978.39</v>
      </c>
      <c r="H12" s="16">
        <v>0.73080000000000001</v>
      </c>
      <c r="I12" s="16" t="s">
        <v>56</v>
      </c>
      <c r="J12" s="16"/>
      <c r="K12" s="16"/>
      <c r="L12" s="16"/>
      <c r="M12" s="5"/>
    </row>
    <row r="13" spans="1:13" s="17" customFormat="1" ht="102" customHeight="1" x14ac:dyDescent="0.3">
      <c r="A13" s="16" t="s">
        <v>67</v>
      </c>
      <c r="B13" s="16" t="s">
        <v>68</v>
      </c>
      <c r="C13" s="16">
        <v>903</v>
      </c>
      <c r="D13" s="16">
        <v>912.03</v>
      </c>
      <c r="E13" s="16">
        <v>893.97</v>
      </c>
      <c r="F13" s="16">
        <v>920.96</v>
      </c>
      <c r="G13" s="16">
        <v>885.04</v>
      </c>
      <c r="H13" s="16">
        <v>0.66110000000000002</v>
      </c>
      <c r="I13" s="16" t="s">
        <v>56</v>
      </c>
      <c r="J13" s="16"/>
      <c r="K13" s="16"/>
      <c r="L13" s="16"/>
      <c r="M13" s="5"/>
    </row>
    <row r="14" spans="1:13" s="17" customFormat="1" ht="102" customHeight="1" x14ac:dyDescent="0.3">
      <c r="A14" s="16" t="s">
        <v>69</v>
      </c>
      <c r="B14" s="16" t="s">
        <v>70</v>
      </c>
      <c r="C14" s="16">
        <v>821.86</v>
      </c>
      <c r="D14" s="16">
        <v>830.07</v>
      </c>
      <c r="E14" s="16">
        <v>813.65</v>
      </c>
      <c r="F14" s="16">
        <v>838.21</v>
      </c>
      <c r="G14" s="16">
        <v>805.51</v>
      </c>
      <c r="H14" s="16">
        <v>0.60170000000000001</v>
      </c>
      <c r="I14" s="16" t="s">
        <v>56</v>
      </c>
      <c r="J14" s="16"/>
      <c r="K14" s="16"/>
      <c r="L14" s="16"/>
      <c r="M14" s="5"/>
    </row>
    <row r="15" spans="1:13" s="17" customFormat="1" ht="102" customHeight="1" x14ac:dyDescent="0.3">
      <c r="A15" s="16" t="s">
        <v>71</v>
      </c>
      <c r="B15" s="16" t="s">
        <v>72</v>
      </c>
      <c r="C15" s="16">
        <v>174.8</v>
      </c>
      <c r="D15" s="16">
        <v>176.54</v>
      </c>
      <c r="E15" s="16">
        <v>173.06</v>
      </c>
      <c r="F15" s="16">
        <v>178.27</v>
      </c>
      <c r="G15" s="16">
        <v>171.33</v>
      </c>
      <c r="H15" s="16">
        <v>0.128</v>
      </c>
      <c r="I15" s="16" t="s">
        <v>56</v>
      </c>
      <c r="J15" s="16"/>
      <c r="K15" s="16"/>
      <c r="L15" s="16"/>
      <c r="M15" s="5"/>
    </row>
    <row r="16" spans="1:13" s="17" customFormat="1" ht="102" customHeight="1" x14ac:dyDescent="0.3">
      <c r="A16" s="16" t="s">
        <v>73</v>
      </c>
      <c r="B16" s="16" t="s">
        <v>74</v>
      </c>
      <c r="C16" s="16">
        <v>189</v>
      </c>
      <c r="D16" s="16">
        <v>190.89</v>
      </c>
      <c r="E16" s="16">
        <v>187.11</v>
      </c>
      <c r="F16" s="16">
        <v>200.34</v>
      </c>
      <c r="G16" s="16">
        <v>179.55</v>
      </c>
      <c r="H16" s="16">
        <v>0.1384</v>
      </c>
      <c r="I16" s="16" t="s">
        <v>56</v>
      </c>
      <c r="J16" s="16"/>
      <c r="K16" s="16"/>
      <c r="L16" s="16"/>
      <c r="M16" s="5"/>
    </row>
    <row r="17" spans="1:13" s="17" customFormat="1" ht="102" customHeight="1" x14ac:dyDescent="0.3">
      <c r="A17" s="16" t="s">
        <v>75</v>
      </c>
      <c r="B17" s="16" t="s">
        <v>76</v>
      </c>
      <c r="C17" s="16">
        <v>125.99</v>
      </c>
      <c r="D17" s="16">
        <v>127.24</v>
      </c>
      <c r="E17" s="16">
        <v>124.74</v>
      </c>
      <c r="F17" s="16">
        <v>129.13</v>
      </c>
      <c r="G17" s="16">
        <v>122.85</v>
      </c>
      <c r="H17" s="16">
        <v>9.2200000000000004E-2</v>
      </c>
      <c r="I17" s="16" t="s">
        <v>56</v>
      </c>
      <c r="J17" s="16"/>
      <c r="K17" s="16"/>
      <c r="L17" s="16"/>
      <c r="M17" s="5"/>
    </row>
    <row r="18" spans="1:13" s="17" customFormat="1" ht="102" customHeight="1" x14ac:dyDescent="0.3">
      <c r="A18" s="16" t="s">
        <v>77</v>
      </c>
      <c r="B18" s="16" t="s">
        <v>78</v>
      </c>
      <c r="C18" s="16">
        <v>197.4</v>
      </c>
      <c r="D18" s="16">
        <v>199.37</v>
      </c>
      <c r="E18" s="16">
        <v>195.43</v>
      </c>
      <c r="F18" s="16">
        <v>202.33</v>
      </c>
      <c r="G18" s="16">
        <v>192.47</v>
      </c>
      <c r="H18" s="16">
        <v>0.14449999999999999</v>
      </c>
      <c r="I18" s="16" t="s">
        <v>56</v>
      </c>
      <c r="J18" s="16"/>
      <c r="K18" s="16"/>
      <c r="L18" s="16"/>
      <c r="M18" s="5"/>
    </row>
    <row r="19" spans="1:13" s="17" customFormat="1" ht="102" customHeight="1" x14ac:dyDescent="0.3">
      <c r="A19" s="16" t="s">
        <v>79</v>
      </c>
      <c r="B19" s="16" t="s">
        <v>80</v>
      </c>
      <c r="C19" s="16">
        <v>126.15</v>
      </c>
      <c r="D19" s="16">
        <v>127.41</v>
      </c>
      <c r="E19" s="16">
        <v>124.89</v>
      </c>
      <c r="F19" s="16">
        <v>129.30000000000001</v>
      </c>
      <c r="G19" s="16">
        <v>123</v>
      </c>
      <c r="H19" s="16">
        <v>9.2399999999999996E-2</v>
      </c>
      <c r="I19" s="16" t="s">
        <v>56</v>
      </c>
      <c r="J19" s="16"/>
      <c r="K19" s="16"/>
      <c r="L19" s="16"/>
      <c r="M19" s="5"/>
    </row>
    <row r="20" spans="1:13" s="17" customFormat="1" ht="102" customHeight="1" x14ac:dyDescent="0.3">
      <c r="A20" s="16" t="s">
        <v>81</v>
      </c>
      <c r="B20" s="16" t="s">
        <v>82</v>
      </c>
      <c r="C20" s="16">
        <v>364.2</v>
      </c>
      <c r="D20" s="16">
        <v>367.84</v>
      </c>
      <c r="E20" s="16">
        <v>360.56</v>
      </c>
      <c r="F20" s="16">
        <v>382.41</v>
      </c>
      <c r="G20" s="16">
        <v>338.71</v>
      </c>
      <c r="H20" s="16">
        <v>0.2666</v>
      </c>
      <c r="I20" s="16" t="s">
        <v>56</v>
      </c>
      <c r="J20" s="16"/>
      <c r="K20" s="16"/>
      <c r="L20" s="16"/>
      <c r="M20" s="5"/>
    </row>
    <row r="21" spans="1:13" s="17" customFormat="1" ht="102" customHeight="1" x14ac:dyDescent="0.3">
      <c r="A21" s="16" t="s">
        <v>83</v>
      </c>
      <c r="B21" s="16" t="s">
        <v>84</v>
      </c>
      <c r="C21" s="16">
        <v>4441.95</v>
      </c>
      <c r="D21" s="16">
        <v>4486.3599999999997</v>
      </c>
      <c r="E21" s="16">
        <v>4397.54</v>
      </c>
      <c r="F21" s="16">
        <v>4708.46</v>
      </c>
      <c r="G21" s="16">
        <v>4086.6</v>
      </c>
      <c r="H21" s="16">
        <v>3.2519999999999998</v>
      </c>
      <c r="I21" s="16" t="s">
        <v>56</v>
      </c>
      <c r="J21" s="16"/>
      <c r="K21" s="16"/>
      <c r="L21" s="16"/>
      <c r="M21" s="5"/>
    </row>
    <row r="22" spans="1:13" s="17" customFormat="1" ht="102" customHeight="1" x14ac:dyDescent="0.3">
      <c r="A22" s="16" t="s">
        <v>85</v>
      </c>
      <c r="B22" s="16" t="s">
        <v>86</v>
      </c>
      <c r="C22" s="16">
        <v>3623.08</v>
      </c>
      <c r="D22" s="16">
        <v>3659.31</v>
      </c>
      <c r="E22" s="16">
        <v>3586.85</v>
      </c>
      <c r="F22" s="16">
        <v>3840.46</v>
      </c>
      <c r="G22" s="16">
        <v>3333.24</v>
      </c>
      <c r="H22" s="16">
        <v>2.6524999999999999</v>
      </c>
      <c r="I22" s="16" t="s">
        <v>56</v>
      </c>
      <c r="J22" s="16"/>
      <c r="K22" s="16"/>
      <c r="L22" s="16"/>
      <c r="M22" s="5"/>
    </row>
    <row r="23" spans="1:13" s="17" customFormat="1" ht="102" customHeight="1" x14ac:dyDescent="0.3">
      <c r="A23" s="16" t="s">
        <v>87</v>
      </c>
      <c r="B23" s="16" t="s">
        <v>88</v>
      </c>
      <c r="C23" s="16">
        <v>371.89</v>
      </c>
      <c r="D23" s="16">
        <v>375.6</v>
      </c>
      <c r="E23" s="16">
        <v>368.18</v>
      </c>
      <c r="F23" s="16">
        <v>390.48</v>
      </c>
      <c r="G23" s="16">
        <v>345.86</v>
      </c>
      <c r="H23" s="16">
        <v>0.27229999999999999</v>
      </c>
      <c r="I23" s="16" t="s">
        <v>56</v>
      </c>
      <c r="J23" s="16"/>
      <c r="K23" s="16"/>
      <c r="L23" s="16"/>
      <c r="M23" s="5"/>
    </row>
    <row r="24" spans="1:13" s="17" customFormat="1" ht="102" customHeight="1" x14ac:dyDescent="0.3">
      <c r="A24" s="16" t="s">
        <v>89</v>
      </c>
      <c r="B24" s="16" t="s">
        <v>90</v>
      </c>
      <c r="C24" s="16">
        <v>37.21</v>
      </c>
      <c r="D24" s="16">
        <v>37.58</v>
      </c>
      <c r="E24" s="16">
        <v>36.840000000000003</v>
      </c>
      <c r="F24" s="16">
        <v>39.42</v>
      </c>
      <c r="G24" s="16">
        <v>34.61</v>
      </c>
      <c r="H24" s="16">
        <v>2.7199999999999998E-2</v>
      </c>
      <c r="I24" s="16" t="s">
        <v>56</v>
      </c>
      <c r="J24" s="16"/>
      <c r="K24" s="16"/>
      <c r="L24" s="16"/>
      <c r="M24" s="5"/>
    </row>
    <row r="25" spans="1:13" s="17" customFormat="1" ht="102" customHeight="1" x14ac:dyDescent="0.3">
      <c r="A25" s="16" t="s">
        <v>91</v>
      </c>
      <c r="B25" s="16" t="s">
        <v>92</v>
      </c>
      <c r="C25" s="16">
        <v>1009.53</v>
      </c>
      <c r="D25" s="16">
        <v>1019.62</v>
      </c>
      <c r="E25" s="16">
        <v>999.44</v>
      </c>
      <c r="F25" s="16">
        <v>1029.72</v>
      </c>
      <c r="G25" s="16">
        <v>989.34</v>
      </c>
      <c r="H25" s="16">
        <v>0.73909999999999998</v>
      </c>
      <c r="I25" s="16" t="s">
        <v>56</v>
      </c>
      <c r="J25" s="16"/>
      <c r="K25" s="16"/>
      <c r="L25" s="16"/>
      <c r="M25" s="5"/>
    </row>
    <row r="26" spans="1:13" s="17" customFormat="1" ht="102" customHeight="1" x14ac:dyDescent="0.3">
      <c r="A26" s="16" t="s">
        <v>93</v>
      </c>
      <c r="B26" s="16" t="s">
        <v>94</v>
      </c>
      <c r="C26" s="16">
        <v>8.51</v>
      </c>
      <c r="D26" s="16">
        <v>8.59</v>
      </c>
      <c r="E26" s="16">
        <v>8.43</v>
      </c>
      <c r="F26" s="16">
        <v>9.19</v>
      </c>
      <c r="G26" s="16">
        <v>7.58</v>
      </c>
      <c r="H26" s="16">
        <v>6.1999999999999998E-3</v>
      </c>
      <c r="I26" s="16" t="s">
        <v>56</v>
      </c>
      <c r="J26" s="16"/>
      <c r="K26" s="16"/>
      <c r="L26" s="16"/>
      <c r="M26" s="5"/>
    </row>
    <row r="27" spans="1:13" s="17" customFormat="1" ht="102" customHeight="1" x14ac:dyDescent="0.3">
      <c r="A27" s="16" t="s">
        <v>95</v>
      </c>
      <c r="B27" s="16" t="s">
        <v>96</v>
      </c>
      <c r="C27" s="16">
        <v>74.16</v>
      </c>
      <c r="D27" s="16">
        <v>74.900000000000006</v>
      </c>
      <c r="E27" s="16">
        <v>73.42</v>
      </c>
      <c r="F27" s="16">
        <v>80.09</v>
      </c>
      <c r="G27" s="16">
        <v>68.23</v>
      </c>
      <c r="H27" s="16">
        <v>5.4300000000000001E-2</v>
      </c>
      <c r="I27" s="16" t="s">
        <v>56</v>
      </c>
      <c r="J27" s="16"/>
      <c r="K27" s="16"/>
      <c r="L27" s="16"/>
      <c r="M27" s="5"/>
    </row>
    <row r="28" spans="1:13" s="17" customFormat="1" ht="102" customHeight="1" x14ac:dyDescent="0.3">
      <c r="A28" s="16" t="s">
        <v>97</v>
      </c>
      <c r="B28" s="16" t="s">
        <v>98</v>
      </c>
      <c r="C28" s="16">
        <v>14.85</v>
      </c>
      <c r="D28" s="16">
        <v>14.99</v>
      </c>
      <c r="E28" s="16">
        <v>14.71</v>
      </c>
      <c r="F28" s="16">
        <v>16.03</v>
      </c>
      <c r="G28" s="16">
        <v>13.07</v>
      </c>
      <c r="H28" s="16">
        <v>1.09E-2</v>
      </c>
      <c r="I28" s="16" t="s">
        <v>56</v>
      </c>
      <c r="J28" s="16"/>
      <c r="K28" s="16"/>
      <c r="L28" s="16"/>
      <c r="M28" s="5"/>
    </row>
    <row r="29" spans="1:13" s="17" customFormat="1" ht="102" customHeight="1" x14ac:dyDescent="0.3">
      <c r="A29" s="16" t="s">
        <v>99</v>
      </c>
      <c r="B29" s="16" t="s">
        <v>100</v>
      </c>
      <c r="C29" s="16">
        <v>3.8</v>
      </c>
      <c r="D29" s="16">
        <v>3.83</v>
      </c>
      <c r="E29" s="16">
        <v>3.77</v>
      </c>
      <c r="F29" s="16">
        <v>4.0999999999999996</v>
      </c>
      <c r="G29" s="16">
        <v>3.5</v>
      </c>
      <c r="H29" s="16">
        <v>2.8E-3</v>
      </c>
      <c r="I29" s="16" t="s">
        <v>56</v>
      </c>
      <c r="J29" s="16"/>
      <c r="K29" s="16"/>
      <c r="L29" s="16"/>
      <c r="M29" s="5"/>
    </row>
    <row r="30" spans="1:13" s="17" customFormat="1" ht="102" customHeight="1" x14ac:dyDescent="0.3">
      <c r="A30" s="16" t="s">
        <v>101</v>
      </c>
      <c r="B30" s="16" t="s">
        <v>102</v>
      </c>
      <c r="C30" s="16">
        <v>343.8</v>
      </c>
      <c r="D30" s="16">
        <v>347.23</v>
      </c>
      <c r="E30" s="16">
        <v>340.37</v>
      </c>
      <c r="F30" s="16">
        <v>371.3</v>
      </c>
      <c r="G30" s="16">
        <v>319.74</v>
      </c>
      <c r="H30" s="16">
        <v>0.25169999999999998</v>
      </c>
      <c r="I30" s="16" t="s">
        <v>56</v>
      </c>
      <c r="J30" s="16"/>
      <c r="K30" s="16"/>
      <c r="L30" s="16"/>
      <c r="M30" s="5"/>
    </row>
    <row r="31" spans="1:13" s="17" customFormat="1" ht="102" customHeight="1" x14ac:dyDescent="0.3">
      <c r="A31" s="16" t="s">
        <v>103</v>
      </c>
      <c r="B31" s="16" t="s">
        <v>104</v>
      </c>
      <c r="C31" s="16">
        <v>16.36</v>
      </c>
      <c r="D31" s="16">
        <v>16.52</v>
      </c>
      <c r="E31" s="16">
        <v>16.2</v>
      </c>
      <c r="F31" s="16">
        <v>17.829999999999998</v>
      </c>
      <c r="G31" s="16">
        <v>14.89</v>
      </c>
      <c r="H31" s="16">
        <v>1.2E-2</v>
      </c>
      <c r="I31" s="16" t="s">
        <v>56</v>
      </c>
      <c r="J31" s="16"/>
      <c r="K31" s="16"/>
      <c r="L31" s="16"/>
      <c r="M31" s="5"/>
    </row>
    <row r="32" spans="1:13" s="17" customFormat="1" ht="102" customHeight="1" x14ac:dyDescent="0.3">
      <c r="A32" s="16" t="s">
        <v>105</v>
      </c>
      <c r="B32" s="16" t="s">
        <v>106</v>
      </c>
      <c r="C32" s="16">
        <v>288.16000000000003</v>
      </c>
      <c r="D32" s="16">
        <v>291.04000000000002</v>
      </c>
      <c r="E32" s="16">
        <v>285.27999999999997</v>
      </c>
      <c r="F32" s="16">
        <v>305.44</v>
      </c>
      <c r="G32" s="16">
        <v>265.11</v>
      </c>
      <c r="H32" s="16">
        <v>0.21099999999999999</v>
      </c>
      <c r="I32" s="16" t="s">
        <v>56</v>
      </c>
      <c r="J32" s="16"/>
      <c r="K32" s="16"/>
      <c r="L32" s="16"/>
      <c r="M32" s="5"/>
    </row>
    <row r="33" spans="1:13" s="17" customFormat="1" ht="102" customHeight="1" x14ac:dyDescent="0.3">
      <c r="A33" s="16" t="s">
        <v>107</v>
      </c>
      <c r="B33" s="16" t="s">
        <v>108</v>
      </c>
      <c r="C33" s="16">
        <v>4.9000000000000004</v>
      </c>
      <c r="D33" s="16">
        <v>4.9000000000000004</v>
      </c>
      <c r="E33" s="16">
        <v>4.9000000000000004</v>
      </c>
      <c r="F33" s="16">
        <v>5.29</v>
      </c>
      <c r="G33" s="16">
        <v>4.51</v>
      </c>
      <c r="H33" s="16">
        <v>3.5999999999999999E-3</v>
      </c>
      <c r="I33" s="16" t="s">
        <v>56</v>
      </c>
      <c r="J33" s="16"/>
      <c r="K33" s="16"/>
      <c r="L33" s="16"/>
      <c r="M33" s="5"/>
    </row>
    <row r="34" spans="1:13" s="17" customFormat="1" ht="102" customHeight="1" x14ac:dyDescent="0.3">
      <c r="A34" s="16" t="s">
        <v>109</v>
      </c>
      <c r="B34" s="16" t="s">
        <v>110</v>
      </c>
      <c r="C34" s="16">
        <v>11.67</v>
      </c>
      <c r="D34" s="16">
        <v>11.67</v>
      </c>
      <c r="E34" s="16">
        <v>11.67</v>
      </c>
      <c r="F34" s="16">
        <v>12.6</v>
      </c>
      <c r="G34" s="16">
        <v>10.74</v>
      </c>
      <c r="H34" s="16">
        <v>8.5000000000000006E-3</v>
      </c>
      <c r="I34" s="16" t="s">
        <v>56</v>
      </c>
      <c r="J34" s="16"/>
      <c r="K34" s="16"/>
      <c r="L34" s="16"/>
      <c r="M34" s="5"/>
    </row>
    <row r="35" spans="1:13" s="17" customFormat="1" ht="102" customHeight="1" x14ac:dyDescent="0.3">
      <c r="A35" s="16" t="s">
        <v>111</v>
      </c>
      <c r="B35" s="16" t="s">
        <v>112</v>
      </c>
      <c r="C35" s="16">
        <v>23.8</v>
      </c>
      <c r="D35" s="16">
        <v>24.03</v>
      </c>
      <c r="E35" s="16">
        <v>23.57</v>
      </c>
      <c r="F35" s="16">
        <v>26.18</v>
      </c>
      <c r="G35" s="16">
        <v>22.14</v>
      </c>
      <c r="H35" s="16">
        <v>1.7399999999999999E-2</v>
      </c>
      <c r="I35" s="16" t="s">
        <v>56</v>
      </c>
      <c r="J35" s="16"/>
      <c r="K35" s="16"/>
      <c r="L35" s="16"/>
      <c r="M35" s="5"/>
    </row>
    <row r="36" spans="1:13" s="17" customFormat="1" ht="102" customHeight="1" x14ac:dyDescent="0.3">
      <c r="A36" s="16" t="s">
        <v>113</v>
      </c>
      <c r="B36" s="16" t="s">
        <v>114</v>
      </c>
      <c r="C36" s="16">
        <v>28.82</v>
      </c>
      <c r="D36" s="16">
        <v>29.1</v>
      </c>
      <c r="E36" s="16">
        <v>28.54</v>
      </c>
      <c r="F36" s="16">
        <v>31.12</v>
      </c>
      <c r="G36" s="16">
        <v>26.81</v>
      </c>
      <c r="H36" s="16">
        <v>2.1100000000000001E-2</v>
      </c>
      <c r="I36" s="16" t="s">
        <v>56</v>
      </c>
      <c r="J36" s="16"/>
      <c r="K36" s="16"/>
      <c r="L36" s="16"/>
      <c r="M36" s="5"/>
    </row>
    <row r="37" spans="1:13" s="17" customFormat="1" ht="102" customHeight="1" x14ac:dyDescent="0.3">
      <c r="A37" s="16" t="s">
        <v>115</v>
      </c>
      <c r="B37" s="16" t="s">
        <v>116</v>
      </c>
      <c r="C37" s="16">
        <v>81.28</v>
      </c>
      <c r="D37" s="16">
        <v>82.09</v>
      </c>
      <c r="E37" s="16">
        <v>80.47</v>
      </c>
      <c r="F37" s="16">
        <v>87.78</v>
      </c>
      <c r="G37" s="16">
        <v>74.78</v>
      </c>
      <c r="H37" s="16">
        <v>5.9499999999999997E-2</v>
      </c>
      <c r="I37" s="16" t="s">
        <v>56</v>
      </c>
      <c r="J37" s="16"/>
      <c r="K37" s="16"/>
      <c r="L37" s="16"/>
      <c r="M37" s="5"/>
    </row>
    <row r="38" spans="1:13" s="17" customFormat="1" ht="102" customHeight="1" x14ac:dyDescent="0.3">
      <c r="A38" s="16" t="s">
        <v>117</v>
      </c>
      <c r="B38" s="16" t="s">
        <v>118</v>
      </c>
      <c r="C38" s="16">
        <v>265.62</v>
      </c>
      <c r="D38" s="16">
        <v>265.62</v>
      </c>
      <c r="E38" s="16">
        <v>265.62</v>
      </c>
      <c r="F38" s="16">
        <v>286.86</v>
      </c>
      <c r="G38" s="16">
        <v>244.38</v>
      </c>
      <c r="H38" s="16">
        <v>0.19450000000000001</v>
      </c>
      <c r="I38" s="16" t="s">
        <v>56</v>
      </c>
      <c r="J38" s="16"/>
      <c r="K38" s="16"/>
      <c r="L38" s="16"/>
      <c r="M38" s="5"/>
    </row>
    <row r="39" spans="1:13" s="17" customFormat="1" ht="102" customHeight="1" x14ac:dyDescent="0.3">
      <c r="A39" s="16" t="s">
        <v>119</v>
      </c>
      <c r="B39" s="16" t="s">
        <v>120</v>
      </c>
      <c r="C39" s="16">
        <v>1010.06</v>
      </c>
      <c r="D39" s="16">
        <v>1010.06</v>
      </c>
      <c r="E39" s="16">
        <v>1010.06</v>
      </c>
      <c r="F39" s="16">
        <v>1050.46</v>
      </c>
      <c r="G39" s="16">
        <v>949.46</v>
      </c>
      <c r="H39" s="16">
        <v>0.73950000000000005</v>
      </c>
      <c r="I39" s="16" t="s">
        <v>56</v>
      </c>
      <c r="J39" s="16"/>
      <c r="K39" s="16"/>
      <c r="L39" s="16"/>
      <c r="M39" s="5"/>
    </row>
    <row r="40" spans="1:13" s="17" customFormat="1" ht="102" customHeight="1" x14ac:dyDescent="0.3">
      <c r="A40" s="16" t="s">
        <v>121</v>
      </c>
      <c r="B40" s="16" t="s">
        <v>122</v>
      </c>
      <c r="C40" s="16">
        <v>42.12</v>
      </c>
      <c r="D40" s="16">
        <v>42.54</v>
      </c>
      <c r="E40" s="16">
        <v>41.7</v>
      </c>
      <c r="F40" s="16">
        <v>45.48</v>
      </c>
      <c r="G40" s="16">
        <v>39.18</v>
      </c>
      <c r="H40" s="16">
        <v>3.0800000000000001E-2</v>
      </c>
      <c r="I40" s="16" t="s">
        <v>56</v>
      </c>
      <c r="J40" s="16"/>
      <c r="K40" s="16"/>
      <c r="L40" s="16"/>
      <c r="M40" s="5"/>
    </row>
    <row r="41" spans="1:13" s="17" customFormat="1" ht="102" customHeight="1" x14ac:dyDescent="0.3">
      <c r="A41" s="16" t="s">
        <v>123</v>
      </c>
      <c r="B41" s="16" t="s">
        <v>124</v>
      </c>
      <c r="C41" s="16">
        <v>366.73</v>
      </c>
      <c r="D41" s="16">
        <v>366.73</v>
      </c>
      <c r="E41" s="16">
        <v>366.73</v>
      </c>
      <c r="F41" s="16">
        <v>396.06</v>
      </c>
      <c r="G41" s="16">
        <v>337.4</v>
      </c>
      <c r="H41" s="16">
        <v>0.26850000000000002</v>
      </c>
      <c r="I41" s="16" t="s">
        <v>56</v>
      </c>
      <c r="J41" s="16"/>
      <c r="K41" s="16"/>
      <c r="L41" s="16"/>
      <c r="M41" s="5"/>
    </row>
    <row r="42" spans="1:13" s="17" customFormat="1" ht="102" customHeight="1" x14ac:dyDescent="0.3">
      <c r="A42" s="16" t="s">
        <v>125</v>
      </c>
      <c r="B42" s="16" t="s">
        <v>126</v>
      </c>
      <c r="C42" s="16">
        <v>1926.52</v>
      </c>
      <c r="D42" s="16">
        <v>1926.52</v>
      </c>
      <c r="E42" s="16">
        <v>1926.52</v>
      </c>
      <c r="F42" s="16">
        <v>2003.58</v>
      </c>
      <c r="G42" s="16">
        <v>1772.4</v>
      </c>
      <c r="H42" s="16">
        <v>1.4104000000000001</v>
      </c>
      <c r="I42" s="16" t="s">
        <v>56</v>
      </c>
      <c r="J42" s="16"/>
      <c r="K42" s="16"/>
      <c r="L42" s="16"/>
      <c r="M42" s="5"/>
    </row>
    <row r="43" spans="1:13" s="17" customFormat="1" ht="102" customHeight="1" x14ac:dyDescent="0.3">
      <c r="A43" s="16" t="s">
        <v>127</v>
      </c>
      <c r="B43" s="16" t="s">
        <v>128</v>
      </c>
      <c r="C43" s="16">
        <v>5.37</v>
      </c>
      <c r="D43" s="16">
        <v>5.42</v>
      </c>
      <c r="E43" s="16">
        <v>5.32</v>
      </c>
      <c r="F43" s="16">
        <v>6.01</v>
      </c>
      <c r="G43" s="16">
        <v>4.7300000000000004</v>
      </c>
      <c r="H43" s="16">
        <v>3.8999999999999998E-3</v>
      </c>
      <c r="I43" s="16" t="s">
        <v>56</v>
      </c>
      <c r="J43" s="16"/>
      <c r="K43" s="16"/>
      <c r="L43" s="16"/>
      <c r="M43" s="5"/>
    </row>
    <row r="44" spans="1:13" s="17" customFormat="1" ht="102" customHeight="1" x14ac:dyDescent="0.3">
      <c r="A44" s="16" t="s">
        <v>129</v>
      </c>
      <c r="B44" s="16" t="s">
        <v>130</v>
      </c>
      <c r="C44" s="16">
        <v>3.11</v>
      </c>
      <c r="D44" s="16">
        <v>3.14</v>
      </c>
      <c r="E44" s="16">
        <v>3.08</v>
      </c>
      <c r="F44" s="16">
        <v>3.48</v>
      </c>
      <c r="G44" s="16">
        <v>2.74</v>
      </c>
      <c r="H44" s="16">
        <v>2.3E-3</v>
      </c>
      <c r="I44" s="16" t="s">
        <v>56</v>
      </c>
      <c r="J44" s="16"/>
      <c r="K44" s="16"/>
      <c r="L44" s="16"/>
      <c r="M44" s="5"/>
    </row>
    <row r="45" spans="1:13" s="17" customFormat="1" ht="102" customHeight="1" x14ac:dyDescent="0.3">
      <c r="A45" s="16" t="s">
        <v>131</v>
      </c>
      <c r="B45" s="16" t="s">
        <v>132</v>
      </c>
      <c r="C45" s="16">
        <v>42.33</v>
      </c>
      <c r="D45" s="16">
        <v>42.75</v>
      </c>
      <c r="E45" s="16">
        <v>41.91</v>
      </c>
      <c r="F45" s="16">
        <v>45.71</v>
      </c>
      <c r="G45" s="16">
        <v>38.950000000000003</v>
      </c>
      <c r="H45" s="16">
        <v>3.1E-2</v>
      </c>
      <c r="I45" s="16" t="s">
        <v>56</v>
      </c>
      <c r="J45" s="16"/>
      <c r="K45" s="16"/>
      <c r="L45" s="16"/>
      <c r="M45" s="5"/>
    </row>
    <row r="46" spans="1:13" s="17" customFormat="1" ht="102" customHeight="1" x14ac:dyDescent="0.3">
      <c r="A46" s="16" t="s">
        <v>133</v>
      </c>
      <c r="B46" s="16" t="s">
        <v>134</v>
      </c>
      <c r="C46" s="16">
        <v>59.06</v>
      </c>
      <c r="D46" s="16">
        <v>59.65</v>
      </c>
      <c r="E46" s="16">
        <v>58.47</v>
      </c>
      <c r="F46" s="16">
        <v>63.19</v>
      </c>
      <c r="G46" s="16">
        <v>53.75</v>
      </c>
      <c r="H46" s="16">
        <v>4.3200000000000002E-2</v>
      </c>
      <c r="I46" s="16" t="s">
        <v>56</v>
      </c>
      <c r="J46" s="16"/>
      <c r="K46" s="16"/>
      <c r="L46" s="16"/>
      <c r="M46" s="5"/>
    </row>
    <row r="47" spans="1:13" s="17" customFormat="1" ht="102" customHeight="1" x14ac:dyDescent="0.3">
      <c r="A47" s="16" t="s">
        <v>135</v>
      </c>
      <c r="B47" s="16" t="s">
        <v>136</v>
      </c>
      <c r="C47" s="16">
        <v>0.4</v>
      </c>
      <c r="D47" s="16" t="s">
        <v>137</v>
      </c>
      <c r="E47" s="16" t="s">
        <v>137</v>
      </c>
      <c r="F47" s="16" t="s">
        <v>137</v>
      </c>
      <c r="G47" s="16" t="s">
        <v>137</v>
      </c>
      <c r="H47" s="16">
        <v>2.9999999999999997E-4</v>
      </c>
      <c r="I47" s="16" t="s">
        <v>56</v>
      </c>
      <c r="J47" s="16"/>
      <c r="K47" s="16"/>
      <c r="L47" s="16"/>
      <c r="M47" s="5"/>
    </row>
    <row r="48" spans="1:13" s="17" customFormat="1" ht="102" customHeight="1" x14ac:dyDescent="0.3">
      <c r="A48" s="16" t="s">
        <v>138</v>
      </c>
      <c r="B48" s="16" t="s">
        <v>139</v>
      </c>
      <c r="C48" s="16">
        <v>374.63</v>
      </c>
      <c r="D48" s="16" t="s">
        <v>137</v>
      </c>
      <c r="E48" s="16" t="s">
        <v>137</v>
      </c>
      <c r="F48" s="16" t="s">
        <v>137</v>
      </c>
      <c r="G48" s="16" t="s">
        <v>137</v>
      </c>
      <c r="H48" s="16">
        <v>0.27429999999999999</v>
      </c>
      <c r="I48" s="16" t="s">
        <v>56</v>
      </c>
      <c r="J48" s="16"/>
      <c r="K48" s="16"/>
      <c r="L48" s="16"/>
      <c r="M48" s="5"/>
    </row>
    <row r="49" spans="1:13" s="17" customFormat="1" ht="102" customHeight="1" x14ac:dyDescent="0.3">
      <c r="A49" s="16" t="s">
        <v>140</v>
      </c>
      <c r="B49" s="16" t="s">
        <v>141</v>
      </c>
      <c r="C49" s="16">
        <v>1.48</v>
      </c>
      <c r="D49" s="16">
        <v>1.48</v>
      </c>
      <c r="E49" s="16">
        <v>1.48</v>
      </c>
      <c r="F49" s="16">
        <v>1.48</v>
      </c>
      <c r="G49" s="16">
        <v>1.48</v>
      </c>
      <c r="H49" s="16">
        <v>1.1000000000000001E-3</v>
      </c>
      <c r="I49" s="16" t="s">
        <v>56</v>
      </c>
      <c r="J49" s="16"/>
      <c r="K49" s="16"/>
      <c r="L49" s="16"/>
      <c r="M49" s="5"/>
    </row>
    <row r="50" spans="1:13" s="17" customFormat="1" ht="102" customHeight="1" x14ac:dyDescent="0.3">
      <c r="A50" s="16" t="s">
        <v>142</v>
      </c>
      <c r="B50" s="16" t="s">
        <v>143</v>
      </c>
      <c r="C50" s="16">
        <v>280.95</v>
      </c>
      <c r="D50" s="16">
        <v>280.95</v>
      </c>
      <c r="E50" s="16">
        <v>280.95</v>
      </c>
      <c r="F50" s="16">
        <v>280.95</v>
      </c>
      <c r="G50" s="16">
        <v>280.95</v>
      </c>
      <c r="H50" s="16">
        <v>0.20569999999999999</v>
      </c>
      <c r="I50" s="16" t="s">
        <v>56</v>
      </c>
      <c r="J50" s="16"/>
      <c r="K50" s="16"/>
      <c r="L50" s="16"/>
      <c r="M50" s="5"/>
    </row>
    <row r="51" spans="1:13" s="17" customFormat="1" ht="102" customHeight="1" x14ac:dyDescent="0.3">
      <c r="A51" s="16" t="s">
        <v>144</v>
      </c>
      <c r="B51" s="16" t="s">
        <v>145</v>
      </c>
      <c r="C51" s="16">
        <v>601.54</v>
      </c>
      <c r="D51" s="16">
        <v>601.54</v>
      </c>
      <c r="E51" s="16">
        <v>601.54</v>
      </c>
      <c r="F51" s="16">
        <v>601.54</v>
      </c>
      <c r="G51" s="16">
        <v>601.54</v>
      </c>
      <c r="H51" s="16">
        <v>0.44040000000000001</v>
      </c>
      <c r="I51" s="16" t="s">
        <v>56</v>
      </c>
      <c r="J51" s="16"/>
      <c r="K51" s="16"/>
      <c r="L51" s="16"/>
      <c r="M51" s="5"/>
    </row>
    <row r="52" spans="1:13" s="17" customFormat="1" ht="102" customHeight="1" x14ac:dyDescent="0.3">
      <c r="A52" s="16" t="s">
        <v>146</v>
      </c>
      <c r="B52" s="16" t="s">
        <v>147</v>
      </c>
      <c r="C52" s="16">
        <v>4.58</v>
      </c>
      <c r="D52" s="16">
        <v>4.58</v>
      </c>
      <c r="E52" s="16">
        <v>4.58</v>
      </c>
      <c r="F52" s="16">
        <v>4.58</v>
      </c>
      <c r="G52" s="16">
        <v>4.58</v>
      </c>
      <c r="H52" s="16">
        <v>3.3999999999999998E-3</v>
      </c>
      <c r="I52" s="16" t="s">
        <v>56</v>
      </c>
      <c r="J52" s="16"/>
      <c r="K52" s="16"/>
      <c r="L52" s="16"/>
      <c r="M52" s="5"/>
    </row>
    <row r="53" spans="1:13" s="17" customFormat="1" ht="102" customHeight="1" x14ac:dyDescent="0.3">
      <c r="A53" s="16" t="s">
        <v>148</v>
      </c>
      <c r="B53" s="16" t="s">
        <v>149</v>
      </c>
      <c r="C53" s="16">
        <v>10.43</v>
      </c>
      <c r="D53" s="16">
        <v>10.43</v>
      </c>
      <c r="E53" s="16">
        <v>10.43</v>
      </c>
      <c r="F53" s="16">
        <v>10.43</v>
      </c>
      <c r="G53" s="16">
        <v>10.43</v>
      </c>
      <c r="H53" s="16">
        <v>7.6E-3</v>
      </c>
      <c r="I53" s="16" t="s">
        <v>56</v>
      </c>
      <c r="J53" s="16"/>
      <c r="K53" s="16"/>
      <c r="L53" s="16"/>
      <c r="M53" s="5"/>
    </row>
    <row r="54" spans="1:13" s="17" customFormat="1" ht="102" customHeight="1" x14ac:dyDescent="0.3">
      <c r="A54" s="16" t="s">
        <v>150</v>
      </c>
      <c r="B54" s="16" t="s">
        <v>151</v>
      </c>
      <c r="C54" s="16">
        <v>0.11</v>
      </c>
      <c r="D54" s="16">
        <v>0.11</v>
      </c>
      <c r="E54" s="16">
        <v>0.11</v>
      </c>
      <c r="F54" s="16">
        <v>0.11</v>
      </c>
      <c r="G54" s="16">
        <v>0.11</v>
      </c>
      <c r="H54" s="16">
        <v>1E-4</v>
      </c>
      <c r="I54" s="16" t="s">
        <v>56</v>
      </c>
      <c r="J54" s="16"/>
      <c r="K54" s="16"/>
      <c r="L54" s="16"/>
      <c r="M54" s="5"/>
    </row>
    <row r="55" spans="1:13" s="17" customFormat="1" ht="102" customHeight="1" x14ac:dyDescent="0.3">
      <c r="A55" s="16" t="s">
        <v>152</v>
      </c>
      <c r="B55" s="16" t="s">
        <v>153</v>
      </c>
      <c r="C55" s="16">
        <v>0.34</v>
      </c>
      <c r="D55" s="16">
        <v>0.34</v>
      </c>
      <c r="E55" s="16">
        <v>0.34</v>
      </c>
      <c r="F55" s="16">
        <v>0.34</v>
      </c>
      <c r="G55" s="16">
        <v>0.34</v>
      </c>
      <c r="H55" s="16">
        <v>2.0000000000000001E-4</v>
      </c>
      <c r="I55" s="16" t="s">
        <v>56</v>
      </c>
      <c r="J55" s="16"/>
      <c r="K55" s="16"/>
      <c r="L55" s="16"/>
      <c r="M55" s="5"/>
    </row>
    <row r="56" spans="1:13" s="17" customFormat="1" ht="102" customHeight="1" x14ac:dyDescent="0.3">
      <c r="A56" s="16" t="s">
        <v>154</v>
      </c>
      <c r="B56" s="16" t="s">
        <v>155</v>
      </c>
      <c r="C56" s="16">
        <v>296.01</v>
      </c>
      <c r="D56" s="16">
        <v>296.01</v>
      </c>
      <c r="E56" s="16">
        <v>296.01</v>
      </c>
      <c r="F56" s="16">
        <v>296.01</v>
      </c>
      <c r="G56" s="16">
        <v>296.01</v>
      </c>
      <c r="H56" s="16">
        <v>0.2167</v>
      </c>
      <c r="I56" s="16" t="s">
        <v>56</v>
      </c>
      <c r="J56" s="16"/>
      <c r="K56" s="16"/>
      <c r="L56" s="16"/>
      <c r="M56" s="5"/>
    </row>
    <row r="57" spans="1:13" s="17" customFormat="1" ht="102" customHeight="1" x14ac:dyDescent="0.3">
      <c r="A57" s="16" t="s">
        <v>156</v>
      </c>
      <c r="B57" s="16" t="s">
        <v>157</v>
      </c>
      <c r="C57" s="16">
        <v>169.63</v>
      </c>
      <c r="D57" s="16">
        <v>169.63</v>
      </c>
      <c r="E57" s="16">
        <v>169.63</v>
      </c>
      <c r="F57" s="16">
        <v>169.63</v>
      </c>
      <c r="G57" s="16">
        <v>169.63</v>
      </c>
      <c r="H57" s="16">
        <v>0.1242</v>
      </c>
      <c r="I57" s="16" t="s">
        <v>56</v>
      </c>
      <c r="J57" s="16"/>
      <c r="K57" s="16"/>
      <c r="L57" s="16"/>
      <c r="M57" s="5"/>
    </row>
    <row r="58" spans="1:13" s="17" customFormat="1" ht="102" customHeight="1" x14ac:dyDescent="0.3">
      <c r="A58" s="16" t="s">
        <v>158</v>
      </c>
      <c r="B58" s="16" t="s">
        <v>159</v>
      </c>
      <c r="C58" s="16">
        <v>23.79</v>
      </c>
      <c r="D58" s="16">
        <v>23.79</v>
      </c>
      <c r="E58" s="16">
        <v>23.79</v>
      </c>
      <c r="F58" s="16">
        <v>23.79</v>
      </c>
      <c r="G58" s="16">
        <v>23.79</v>
      </c>
      <c r="H58" s="16">
        <v>1.7399999999999999E-2</v>
      </c>
      <c r="I58" s="16" t="s">
        <v>56</v>
      </c>
      <c r="J58" s="16"/>
      <c r="K58" s="16"/>
      <c r="L58" s="16"/>
      <c r="M58" s="5"/>
    </row>
    <row r="59" spans="1:13" s="17" customFormat="1" ht="102" customHeight="1" x14ac:dyDescent="0.3">
      <c r="A59" s="16" t="s">
        <v>160</v>
      </c>
      <c r="B59" s="16" t="s">
        <v>161</v>
      </c>
      <c r="C59" s="16">
        <v>10.23</v>
      </c>
      <c r="D59" s="16">
        <v>10.23</v>
      </c>
      <c r="E59" s="16">
        <v>10.23</v>
      </c>
      <c r="F59" s="16">
        <v>10.23</v>
      </c>
      <c r="G59" s="16">
        <v>10.23</v>
      </c>
      <c r="H59" s="16">
        <v>7.4999999999999997E-3</v>
      </c>
      <c r="I59" s="16" t="s">
        <v>56</v>
      </c>
      <c r="J59" s="16"/>
      <c r="K59" s="16"/>
      <c r="L59" s="16"/>
      <c r="M59" s="5"/>
    </row>
    <row r="60" spans="1:13" s="17" customFormat="1" ht="102" customHeight="1" x14ac:dyDescent="0.3">
      <c r="A60" s="16" t="s">
        <v>162</v>
      </c>
      <c r="B60" s="16" t="s">
        <v>163</v>
      </c>
      <c r="C60" s="16">
        <v>0.65</v>
      </c>
      <c r="D60" s="16">
        <v>0.65</v>
      </c>
      <c r="E60" s="16">
        <v>0.65</v>
      </c>
      <c r="F60" s="16">
        <v>0.65</v>
      </c>
      <c r="G60" s="16">
        <v>0.65</v>
      </c>
      <c r="H60" s="16">
        <v>5.0000000000000001E-4</v>
      </c>
      <c r="I60" s="16" t="s">
        <v>56</v>
      </c>
      <c r="J60" s="16"/>
      <c r="K60" s="16"/>
      <c r="L60" s="16"/>
      <c r="M60" s="5"/>
    </row>
    <row r="61" spans="1:13" s="17" customFormat="1" ht="102" customHeight="1" x14ac:dyDescent="0.3">
      <c r="A61" s="16" t="s">
        <v>164</v>
      </c>
      <c r="B61" s="16" t="s">
        <v>165</v>
      </c>
      <c r="C61" s="16">
        <v>3548.71</v>
      </c>
      <c r="D61" s="16">
        <v>3548.71</v>
      </c>
      <c r="E61" s="16">
        <v>3548.71</v>
      </c>
      <c r="F61" s="16">
        <v>3548.71</v>
      </c>
      <c r="G61" s="16">
        <v>3548.71</v>
      </c>
      <c r="H61" s="16">
        <v>2.5981000000000001</v>
      </c>
      <c r="I61" s="16" t="s">
        <v>56</v>
      </c>
      <c r="J61" s="16"/>
      <c r="K61" s="16"/>
      <c r="L61" s="16"/>
      <c r="M61" s="5"/>
    </row>
    <row r="62" spans="1:13" s="17" customFormat="1" ht="102" customHeight="1" x14ac:dyDescent="0.3">
      <c r="A62" s="16" t="s">
        <v>166</v>
      </c>
      <c r="B62" s="16" t="s">
        <v>167</v>
      </c>
      <c r="C62" s="16">
        <v>0.35</v>
      </c>
      <c r="D62" s="16">
        <v>0.35</v>
      </c>
      <c r="E62" s="16">
        <v>0.35</v>
      </c>
      <c r="F62" s="16">
        <v>0.35</v>
      </c>
      <c r="G62" s="16">
        <v>0.35</v>
      </c>
      <c r="H62" s="16">
        <v>2.9999999999999997E-4</v>
      </c>
      <c r="I62" s="16" t="s">
        <v>56</v>
      </c>
      <c r="J62" s="16"/>
      <c r="K62" s="16"/>
      <c r="L62" s="16"/>
      <c r="M62" s="5"/>
    </row>
    <row r="63" spans="1:13" s="17" customFormat="1" ht="102" customHeight="1" x14ac:dyDescent="0.3">
      <c r="A63" s="16" t="s">
        <v>168</v>
      </c>
      <c r="B63" s="16" t="s">
        <v>169</v>
      </c>
      <c r="C63" s="16">
        <v>1.55</v>
      </c>
      <c r="D63" s="16">
        <v>1.55</v>
      </c>
      <c r="E63" s="16">
        <v>1.55</v>
      </c>
      <c r="F63" s="16">
        <v>1.55</v>
      </c>
      <c r="G63" s="16">
        <v>1.55</v>
      </c>
      <c r="H63" s="16">
        <v>1.1000000000000001E-3</v>
      </c>
      <c r="I63" s="16" t="s">
        <v>56</v>
      </c>
      <c r="J63" s="16"/>
      <c r="K63" s="16"/>
      <c r="L63" s="16"/>
      <c r="M63" s="5"/>
    </row>
  </sheetData>
  <mergeCells count="15">
    <mergeCell ref="A5:B6"/>
    <mergeCell ref="A1:H1"/>
    <mergeCell ref="A2:D2"/>
    <mergeCell ref="E2:H2"/>
    <mergeCell ref="A3:D3"/>
    <mergeCell ref="E3:H3"/>
    <mergeCell ref="D5:E5"/>
    <mergeCell ref="F5:G5"/>
    <mergeCell ref="C5:C6"/>
    <mergeCell ref="H5:H6"/>
    <mergeCell ref="I5:I6"/>
    <mergeCell ref="J5:J6"/>
    <mergeCell ref="K5:K6"/>
    <mergeCell ref="L5:L6"/>
    <mergeCell ref="M5:M6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81728-CEEB-41A5-9FAC-E8D8AA853B76}">
  <sheetPr codeName="Sheet2"/>
  <dimension ref="A1:C102"/>
  <sheetViews>
    <sheetView workbookViewId="0"/>
  </sheetViews>
  <sheetFormatPr defaultRowHeight="16.5" x14ac:dyDescent="0.3"/>
  <cols>
    <col min="2" max="2" width="38.75" bestFit="1" customWidth="1"/>
    <col min="3" max="3" width="113.625" customWidth="1"/>
  </cols>
  <sheetData>
    <row r="1" spans="1:3" x14ac:dyDescent="0.3">
      <c r="A1" s="60" t="s">
        <v>12</v>
      </c>
      <c r="B1" s="15"/>
    </row>
    <row r="3" spans="1:3" x14ac:dyDescent="0.3">
      <c r="A3" s="3" t="s">
        <v>9</v>
      </c>
      <c r="B3" s="3" t="s">
        <v>10</v>
      </c>
      <c r="C3" s="3" t="s">
        <v>11</v>
      </c>
    </row>
    <row r="4" spans="1:3" x14ac:dyDescent="0.3">
      <c r="A4" s="5"/>
      <c r="B4" s="5"/>
      <c r="C4" s="4"/>
    </row>
    <row r="5" spans="1:3" x14ac:dyDescent="0.3">
      <c r="A5" s="5"/>
      <c r="B5" s="5"/>
      <c r="C5" s="4"/>
    </row>
    <row r="6" spans="1:3" x14ac:dyDescent="0.3">
      <c r="A6" s="5"/>
      <c r="B6" s="5"/>
      <c r="C6" s="4"/>
    </row>
    <row r="7" spans="1:3" x14ac:dyDescent="0.3">
      <c r="A7" s="5"/>
      <c r="B7" s="5"/>
      <c r="C7" s="4"/>
    </row>
    <row r="8" spans="1:3" x14ac:dyDescent="0.3">
      <c r="A8" s="5"/>
      <c r="B8" s="5"/>
      <c r="C8" s="4"/>
    </row>
    <row r="9" spans="1:3" x14ac:dyDescent="0.3">
      <c r="A9" s="5"/>
      <c r="B9" s="5"/>
      <c r="C9" s="4"/>
    </row>
    <row r="10" spans="1:3" x14ac:dyDescent="0.3">
      <c r="A10" s="5"/>
      <c r="B10" s="5"/>
      <c r="C10" s="4"/>
    </row>
    <row r="11" spans="1:3" x14ac:dyDescent="0.3">
      <c r="A11" s="5"/>
      <c r="B11" s="5"/>
      <c r="C11" s="4"/>
    </row>
    <row r="12" spans="1:3" x14ac:dyDescent="0.3">
      <c r="A12" s="5"/>
      <c r="B12" s="5"/>
      <c r="C12" s="4"/>
    </row>
    <row r="13" spans="1:3" x14ac:dyDescent="0.3">
      <c r="A13" s="5"/>
      <c r="B13" s="5"/>
      <c r="C13" s="4"/>
    </row>
    <row r="14" spans="1:3" x14ac:dyDescent="0.3">
      <c r="A14" s="5"/>
      <c r="B14" s="5"/>
      <c r="C14" s="4"/>
    </row>
    <row r="15" spans="1:3" x14ac:dyDescent="0.3">
      <c r="A15" s="5"/>
      <c r="B15" s="5"/>
      <c r="C15" s="4"/>
    </row>
    <row r="16" spans="1:3" x14ac:dyDescent="0.3">
      <c r="A16" s="5"/>
      <c r="B16" s="5"/>
      <c r="C16" s="4"/>
    </row>
    <row r="17" spans="1:3" x14ac:dyDescent="0.3">
      <c r="A17" s="5"/>
      <c r="B17" s="5"/>
      <c r="C17" s="4"/>
    </row>
    <row r="18" spans="1:3" x14ac:dyDescent="0.3">
      <c r="A18" s="5"/>
      <c r="B18" s="5"/>
      <c r="C18" s="4"/>
    </row>
    <row r="19" spans="1:3" x14ac:dyDescent="0.3">
      <c r="A19" s="5"/>
      <c r="B19" s="5"/>
      <c r="C19" s="4"/>
    </row>
    <row r="20" spans="1:3" x14ac:dyDescent="0.3">
      <c r="A20" s="5"/>
      <c r="B20" s="5"/>
      <c r="C20" s="4"/>
    </row>
    <row r="21" spans="1:3" x14ac:dyDescent="0.3">
      <c r="A21" s="5"/>
      <c r="B21" s="5"/>
      <c r="C21" s="4"/>
    </row>
    <row r="22" spans="1:3" x14ac:dyDescent="0.3">
      <c r="A22" s="5"/>
      <c r="B22" s="5"/>
      <c r="C22" s="4"/>
    </row>
    <row r="23" spans="1:3" x14ac:dyDescent="0.3">
      <c r="A23" s="5"/>
      <c r="B23" s="5"/>
      <c r="C23" s="4"/>
    </row>
    <row r="24" spans="1:3" x14ac:dyDescent="0.3">
      <c r="A24" s="5"/>
      <c r="B24" s="5"/>
      <c r="C24" s="4"/>
    </row>
    <row r="25" spans="1:3" x14ac:dyDescent="0.3">
      <c r="A25" s="5"/>
      <c r="B25" s="5"/>
      <c r="C25" s="4"/>
    </row>
    <row r="26" spans="1:3" x14ac:dyDescent="0.3">
      <c r="A26" s="5"/>
      <c r="B26" s="5"/>
      <c r="C26" s="4"/>
    </row>
    <row r="27" spans="1:3" x14ac:dyDescent="0.3">
      <c r="A27" s="5"/>
      <c r="B27" s="5"/>
      <c r="C27" s="4"/>
    </row>
    <row r="28" spans="1:3" x14ac:dyDescent="0.3">
      <c r="A28" s="5"/>
      <c r="B28" s="5"/>
      <c r="C28" s="4"/>
    </row>
    <row r="29" spans="1:3" x14ac:dyDescent="0.3">
      <c r="A29" s="5"/>
      <c r="B29" s="5"/>
      <c r="C29" s="4"/>
    </row>
    <row r="30" spans="1:3" x14ac:dyDescent="0.3">
      <c r="A30" s="5"/>
      <c r="B30" s="5"/>
      <c r="C30" s="4"/>
    </row>
    <row r="31" spans="1:3" x14ac:dyDescent="0.3">
      <c r="A31" s="5"/>
      <c r="B31" s="5"/>
      <c r="C31" s="4"/>
    </row>
    <row r="32" spans="1:3" x14ac:dyDescent="0.3">
      <c r="A32" s="5"/>
      <c r="B32" s="5"/>
      <c r="C32" s="4"/>
    </row>
    <row r="33" spans="1:3" x14ac:dyDescent="0.3">
      <c r="A33" s="5"/>
      <c r="B33" s="5"/>
      <c r="C33" s="4"/>
    </row>
    <row r="34" spans="1:3" x14ac:dyDescent="0.3">
      <c r="A34" s="5"/>
      <c r="B34" s="5"/>
      <c r="C34" s="4"/>
    </row>
    <row r="35" spans="1:3" x14ac:dyDescent="0.3">
      <c r="A35" s="5"/>
      <c r="B35" s="5"/>
      <c r="C35" s="4"/>
    </row>
    <row r="36" spans="1:3" x14ac:dyDescent="0.3">
      <c r="A36" s="5"/>
      <c r="B36" s="5"/>
      <c r="C36" s="4"/>
    </row>
    <row r="37" spans="1:3" x14ac:dyDescent="0.3">
      <c r="A37" s="5"/>
      <c r="B37" s="5"/>
      <c r="C37" s="4"/>
    </row>
    <row r="38" spans="1:3" x14ac:dyDescent="0.3">
      <c r="A38" s="5"/>
      <c r="B38" s="5"/>
      <c r="C38" s="4"/>
    </row>
    <row r="39" spans="1:3" x14ac:dyDescent="0.3">
      <c r="A39" s="5"/>
      <c r="B39" s="5"/>
      <c r="C39" s="4"/>
    </row>
    <row r="40" spans="1:3" x14ac:dyDescent="0.3">
      <c r="A40" s="5"/>
      <c r="B40" s="5"/>
      <c r="C40" s="4"/>
    </row>
    <row r="41" spans="1:3" x14ac:dyDescent="0.3">
      <c r="A41" s="5"/>
      <c r="B41" s="5"/>
      <c r="C41" s="4"/>
    </row>
    <row r="42" spans="1:3" x14ac:dyDescent="0.3">
      <c r="A42" s="5"/>
      <c r="B42" s="5"/>
      <c r="C42" s="4"/>
    </row>
    <row r="43" spans="1:3" x14ac:dyDescent="0.3">
      <c r="A43" s="5"/>
      <c r="B43" s="5"/>
      <c r="C43" s="4"/>
    </row>
    <row r="44" spans="1:3" x14ac:dyDescent="0.3">
      <c r="A44" s="5"/>
      <c r="B44" s="5"/>
      <c r="C44" s="4"/>
    </row>
    <row r="45" spans="1:3" x14ac:dyDescent="0.3">
      <c r="A45" s="5"/>
      <c r="B45" s="5"/>
      <c r="C45" s="4"/>
    </row>
    <row r="46" spans="1:3" x14ac:dyDescent="0.3">
      <c r="A46" s="5"/>
      <c r="B46" s="5"/>
      <c r="C46" s="4"/>
    </row>
    <row r="47" spans="1:3" x14ac:dyDescent="0.3">
      <c r="A47" s="5"/>
      <c r="B47" s="5"/>
      <c r="C47" s="4"/>
    </row>
    <row r="48" spans="1:3" x14ac:dyDescent="0.3">
      <c r="A48" s="5"/>
      <c r="B48" s="5"/>
      <c r="C48" s="4"/>
    </row>
    <row r="49" spans="1:3" x14ac:dyDescent="0.3">
      <c r="A49" s="5"/>
      <c r="B49" s="5"/>
      <c r="C49" s="4"/>
    </row>
    <row r="50" spans="1:3" x14ac:dyDescent="0.3">
      <c r="A50" s="5"/>
      <c r="B50" s="5"/>
      <c r="C50" s="4"/>
    </row>
    <row r="51" spans="1:3" x14ac:dyDescent="0.3">
      <c r="A51" s="5"/>
      <c r="B51" s="5"/>
      <c r="C51" s="4"/>
    </row>
    <row r="52" spans="1:3" x14ac:dyDescent="0.3">
      <c r="A52" s="5"/>
      <c r="B52" s="5"/>
      <c r="C52" s="4"/>
    </row>
    <row r="53" spans="1:3" x14ac:dyDescent="0.3">
      <c r="A53" s="5"/>
      <c r="B53" s="5"/>
      <c r="C53" s="4"/>
    </row>
    <row r="54" spans="1:3" x14ac:dyDescent="0.3">
      <c r="A54" s="5"/>
      <c r="B54" s="5"/>
      <c r="C54" s="4"/>
    </row>
    <row r="55" spans="1:3" x14ac:dyDescent="0.3">
      <c r="A55" s="5"/>
      <c r="B55" s="5"/>
      <c r="C55" s="4"/>
    </row>
    <row r="56" spans="1:3" x14ac:dyDescent="0.3">
      <c r="A56" s="5"/>
      <c r="B56" s="5"/>
      <c r="C56" s="4"/>
    </row>
    <row r="57" spans="1:3" x14ac:dyDescent="0.3">
      <c r="A57" s="5"/>
      <c r="B57" s="5"/>
      <c r="C57" s="4"/>
    </row>
    <row r="58" spans="1:3" x14ac:dyDescent="0.3">
      <c r="A58" s="5"/>
      <c r="B58" s="5"/>
      <c r="C58" s="4"/>
    </row>
    <row r="59" spans="1:3" x14ac:dyDescent="0.3">
      <c r="A59" s="5"/>
      <c r="B59" s="5"/>
      <c r="C59" s="4"/>
    </row>
    <row r="60" spans="1:3" x14ac:dyDescent="0.3">
      <c r="A60" s="5"/>
      <c r="B60" s="5"/>
      <c r="C60" s="4"/>
    </row>
    <row r="61" spans="1:3" x14ac:dyDescent="0.3">
      <c r="A61" s="5"/>
      <c r="B61" s="5"/>
      <c r="C61" s="4"/>
    </row>
    <row r="62" spans="1:3" x14ac:dyDescent="0.3">
      <c r="A62" s="5"/>
      <c r="B62" s="5"/>
      <c r="C62" s="4"/>
    </row>
    <row r="63" spans="1:3" x14ac:dyDescent="0.3">
      <c r="A63" s="5"/>
      <c r="B63" s="5"/>
      <c r="C63" s="4"/>
    </row>
    <row r="64" spans="1:3" x14ac:dyDescent="0.3">
      <c r="A64" s="5"/>
      <c r="B64" s="5"/>
      <c r="C64" s="4"/>
    </row>
    <row r="65" spans="1:3" x14ac:dyDescent="0.3">
      <c r="A65" s="5"/>
      <c r="B65" s="5"/>
      <c r="C65" s="4"/>
    </row>
    <row r="66" spans="1:3" x14ac:dyDescent="0.3">
      <c r="A66" s="5"/>
      <c r="B66" s="5"/>
      <c r="C66" s="4"/>
    </row>
    <row r="67" spans="1:3" x14ac:dyDescent="0.3">
      <c r="A67" s="5"/>
      <c r="B67" s="5"/>
      <c r="C67" s="4"/>
    </row>
    <row r="68" spans="1:3" x14ac:dyDescent="0.3">
      <c r="A68" s="5"/>
      <c r="B68" s="5"/>
      <c r="C68" s="4"/>
    </row>
    <row r="69" spans="1:3" x14ac:dyDescent="0.3">
      <c r="A69" s="5"/>
      <c r="B69" s="5"/>
      <c r="C69" s="4"/>
    </row>
    <row r="70" spans="1:3" x14ac:dyDescent="0.3">
      <c r="A70" s="5"/>
      <c r="B70" s="5"/>
      <c r="C70" s="4"/>
    </row>
    <row r="71" spans="1:3" x14ac:dyDescent="0.3">
      <c r="A71" s="5"/>
      <c r="B71" s="5"/>
      <c r="C71" s="4"/>
    </row>
    <row r="72" spans="1:3" x14ac:dyDescent="0.3">
      <c r="A72" s="5"/>
      <c r="B72" s="5"/>
      <c r="C72" s="4"/>
    </row>
    <row r="73" spans="1:3" x14ac:dyDescent="0.3">
      <c r="A73" s="5"/>
      <c r="B73" s="5"/>
      <c r="C73" s="4"/>
    </row>
    <row r="74" spans="1:3" x14ac:dyDescent="0.3">
      <c r="A74" s="5"/>
      <c r="B74" s="5"/>
      <c r="C74" s="4"/>
    </row>
    <row r="75" spans="1:3" x14ac:dyDescent="0.3">
      <c r="A75" s="5"/>
      <c r="B75" s="5"/>
      <c r="C75" s="4"/>
    </row>
    <row r="76" spans="1:3" x14ac:dyDescent="0.3">
      <c r="A76" s="5"/>
      <c r="B76" s="5"/>
      <c r="C76" s="4"/>
    </row>
    <row r="77" spans="1:3" x14ac:dyDescent="0.3">
      <c r="A77" s="5"/>
      <c r="B77" s="5"/>
      <c r="C77" s="4"/>
    </row>
    <row r="78" spans="1:3" x14ac:dyDescent="0.3">
      <c r="A78" s="5"/>
      <c r="B78" s="5"/>
      <c r="C78" s="4"/>
    </row>
    <row r="79" spans="1:3" x14ac:dyDescent="0.3">
      <c r="A79" s="5"/>
      <c r="B79" s="5"/>
      <c r="C79" s="4"/>
    </row>
    <row r="80" spans="1:3" x14ac:dyDescent="0.3">
      <c r="A80" s="5"/>
      <c r="B80" s="5"/>
      <c r="C80" s="4"/>
    </row>
    <row r="81" spans="1:3" x14ac:dyDescent="0.3">
      <c r="A81" s="5"/>
      <c r="B81" s="5"/>
      <c r="C81" s="4"/>
    </row>
    <row r="82" spans="1:3" x14ac:dyDescent="0.3">
      <c r="A82" s="5"/>
      <c r="B82" s="5"/>
      <c r="C82" s="4"/>
    </row>
    <row r="83" spans="1:3" x14ac:dyDescent="0.3">
      <c r="A83" s="5"/>
      <c r="B83" s="5"/>
      <c r="C83" s="4"/>
    </row>
    <row r="84" spans="1:3" x14ac:dyDescent="0.3">
      <c r="A84" s="5"/>
      <c r="B84" s="5"/>
      <c r="C84" s="4"/>
    </row>
    <row r="85" spans="1:3" x14ac:dyDescent="0.3">
      <c r="A85" s="5"/>
      <c r="B85" s="5"/>
      <c r="C85" s="4"/>
    </row>
    <row r="86" spans="1:3" x14ac:dyDescent="0.3">
      <c r="A86" s="5"/>
      <c r="B86" s="5"/>
      <c r="C86" s="4"/>
    </row>
    <row r="87" spans="1:3" x14ac:dyDescent="0.3">
      <c r="A87" s="5"/>
      <c r="B87" s="5"/>
      <c r="C87" s="4"/>
    </row>
    <row r="88" spans="1:3" x14ac:dyDescent="0.3">
      <c r="A88" s="5"/>
      <c r="B88" s="5"/>
      <c r="C88" s="4"/>
    </row>
    <row r="89" spans="1:3" x14ac:dyDescent="0.3">
      <c r="A89" s="5"/>
      <c r="B89" s="5"/>
      <c r="C89" s="4"/>
    </row>
    <row r="90" spans="1:3" x14ac:dyDescent="0.3">
      <c r="A90" s="5"/>
      <c r="B90" s="5"/>
      <c r="C90" s="4"/>
    </row>
    <row r="91" spans="1:3" x14ac:dyDescent="0.3">
      <c r="A91" s="5"/>
      <c r="B91" s="5"/>
      <c r="C91" s="4"/>
    </row>
    <row r="92" spans="1:3" x14ac:dyDescent="0.3">
      <c r="A92" s="5"/>
      <c r="B92" s="5"/>
      <c r="C92" s="4"/>
    </row>
    <row r="93" spans="1:3" x14ac:dyDescent="0.3">
      <c r="A93" s="5"/>
      <c r="B93" s="5"/>
      <c r="C93" s="4"/>
    </row>
    <row r="94" spans="1:3" x14ac:dyDescent="0.3">
      <c r="A94" s="5"/>
      <c r="B94" s="5"/>
      <c r="C94" s="4"/>
    </row>
    <row r="95" spans="1:3" x14ac:dyDescent="0.3">
      <c r="A95" s="5"/>
      <c r="B95" s="5"/>
      <c r="C95" s="4"/>
    </row>
    <row r="96" spans="1:3" x14ac:dyDescent="0.3">
      <c r="A96" s="5"/>
      <c r="B96" s="5"/>
      <c r="C96" s="4"/>
    </row>
    <row r="97" spans="1:3" x14ac:dyDescent="0.3">
      <c r="A97" s="5"/>
      <c r="B97" s="5"/>
      <c r="C97" s="4"/>
    </row>
    <row r="98" spans="1:3" x14ac:dyDescent="0.3">
      <c r="A98" s="5"/>
      <c r="B98" s="5"/>
      <c r="C98" s="4"/>
    </row>
    <row r="99" spans="1:3" x14ac:dyDescent="0.3">
      <c r="A99" s="5"/>
      <c r="B99" s="5"/>
      <c r="C99" s="4"/>
    </row>
    <row r="100" spans="1:3" x14ac:dyDescent="0.3">
      <c r="A100" s="5"/>
      <c r="B100" s="5"/>
      <c r="C100" s="4"/>
    </row>
    <row r="101" spans="1:3" x14ac:dyDescent="0.3">
      <c r="A101" s="5"/>
      <c r="B101" s="5"/>
      <c r="C101" s="4"/>
    </row>
    <row r="102" spans="1:3" x14ac:dyDescent="0.3">
      <c r="A102" s="5"/>
      <c r="B102" s="5"/>
      <c r="C102" s="4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E5C3E-88C3-4275-8778-B0DE9550DF90}">
  <sheetPr codeName="Sheet3"/>
  <dimension ref="B1:T28"/>
  <sheetViews>
    <sheetView zoomScale="70" zoomScaleNormal="70" workbookViewId="0"/>
  </sheetViews>
  <sheetFormatPr defaultColWidth="9" defaultRowHeight="16.5" x14ac:dyDescent="0.3"/>
  <cols>
    <col min="1" max="1" width="1.75" style="7" customWidth="1"/>
    <col min="2" max="3" width="4.875" style="7" customWidth="1"/>
    <col min="4" max="5" width="9" style="7"/>
    <col min="6" max="18" width="15.75" style="7" customWidth="1"/>
    <col min="19" max="19" width="9" style="7"/>
    <col min="20" max="20" width="20.625" style="39" customWidth="1"/>
    <col min="21" max="16384" width="9" style="7"/>
  </cols>
  <sheetData>
    <row r="1" spans="2:20" s="6" customFormat="1" ht="34.15" customHeight="1" thickBot="1" x14ac:dyDescent="0.35">
      <c r="B1" s="96" t="s">
        <v>13</v>
      </c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8"/>
      <c r="T1" s="40" t="s">
        <v>14</v>
      </c>
    </row>
    <row r="2" spans="2:20" ht="34.15" customHeight="1" x14ac:dyDescent="0.3">
      <c r="T2" s="41" t="s">
        <v>15</v>
      </c>
    </row>
    <row r="3" spans="2:20" ht="33" customHeight="1" thickBot="1" x14ac:dyDescent="0.35"/>
    <row r="4" spans="2:20" ht="30" customHeight="1" x14ac:dyDescent="0.3">
      <c r="B4" s="99" t="s">
        <v>53</v>
      </c>
      <c r="C4" s="100"/>
      <c r="D4" s="101"/>
      <c r="E4" s="101"/>
      <c r="F4" s="8" t="s">
        <v>16</v>
      </c>
      <c r="G4" s="8" t="s">
        <v>17</v>
      </c>
      <c r="H4" s="8" t="s">
        <v>18</v>
      </c>
      <c r="I4" s="9" t="s">
        <v>19</v>
      </c>
      <c r="J4" s="10" t="s">
        <v>20</v>
      </c>
      <c r="K4" s="8" t="s">
        <v>21</v>
      </c>
      <c r="L4" s="8" t="s">
        <v>22</v>
      </c>
      <c r="M4" s="9" t="s">
        <v>23</v>
      </c>
      <c r="N4" s="10" t="s">
        <v>24</v>
      </c>
      <c r="O4" s="8" t="s">
        <v>25</v>
      </c>
      <c r="P4" s="8" t="s">
        <v>26</v>
      </c>
      <c r="Q4" s="9" t="s">
        <v>27</v>
      </c>
      <c r="R4" s="9" t="s">
        <v>28</v>
      </c>
      <c r="S4" s="11"/>
      <c r="T4" s="12" t="s">
        <v>48</v>
      </c>
    </row>
    <row r="5" spans="2:20" ht="30" customHeight="1" x14ac:dyDescent="0.3">
      <c r="B5" s="102">
        <v>2022</v>
      </c>
      <c r="C5" s="93" t="s">
        <v>29</v>
      </c>
      <c r="D5" s="79" t="s">
        <v>30</v>
      </c>
      <c r="E5" s="79"/>
      <c r="F5" s="42"/>
      <c r="G5" s="42"/>
      <c r="H5" s="42"/>
      <c r="I5" s="43"/>
      <c r="J5" s="44"/>
      <c r="K5" s="42"/>
      <c r="L5" s="42"/>
      <c r="M5" s="43"/>
      <c r="N5" s="44"/>
      <c r="O5" s="42"/>
      <c r="P5" s="42"/>
      <c r="Q5" s="43"/>
      <c r="R5" s="28"/>
      <c r="T5" s="13"/>
    </row>
    <row r="6" spans="2:20" ht="30" customHeight="1" x14ac:dyDescent="0.3">
      <c r="B6" s="90"/>
      <c r="C6" s="93"/>
      <c r="D6" s="95" t="s">
        <v>47</v>
      </c>
      <c r="E6" s="79"/>
      <c r="F6" s="21"/>
      <c r="G6" s="21"/>
      <c r="H6" s="21"/>
      <c r="I6" s="22"/>
      <c r="J6" s="23"/>
      <c r="K6" s="21"/>
      <c r="L6" s="21"/>
      <c r="M6" s="22"/>
      <c r="N6" s="23"/>
      <c r="O6" s="21"/>
      <c r="P6" s="21"/>
      <c r="Q6" s="22"/>
      <c r="R6" s="22"/>
      <c r="T6" s="13"/>
    </row>
    <row r="7" spans="2:20" ht="30" customHeight="1" x14ac:dyDescent="0.3">
      <c r="B7" s="90"/>
      <c r="C7" s="93"/>
      <c r="D7" s="79" t="s">
        <v>31</v>
      </c>
      <c r="E7" s="79"/>
      <c r="F7" s="42"/>
      <c r="G7" s="42"/>
      <c r="H7" s="42"/>
      <c r="I7" s="43"/>
      <c r="J7" s="44"/>
      <c r="K7" s="42"/>
      <c r="L7" s="42"/>
      <c r="M7" s="43"/>
      <c r="N7" s="44"/>
      <c r="O7" s="42"/>
      <c r="P7" s="42"/>
      <c r="Q7" s="43"/>
      <c r="R7" s="28"/>
      <c r="T7" s="13"/>
    </row>
    <row r="8" spans="2:20" ht="30" customHeight="1" x14ac:dyDescent="0.3">
      <c r="B8" s="90"/>
      <c r="C8" s="93"/>
      <c r="D8" s="75" t="s">
        <v>47</v>
      </c>
      <c r="E8" s="76"/>
      <c r="F8" s="21"/>
      <c r="G8" s="21"/>
      <c r="H8" s="21"/>
      <c r="I8" s="22"/>
      <c r="J8" s="23"/>
      <c r="K8" s="21"/>
      <c r="L8" s="21"/>
      <c r="M8" s="22"/>
      <c r="N8" s="23"/>
      <c r="O8" s="21"/>
      <c r="P8" s="21"/>
      <c r="Q8" s="22"/>
      <c r="R8" s="24"/>
      <c r="T8" s="11"/>
    </row>
    <row r="9" spans="2:20" ht="30" customHeight="1" x14ac:dyDescent="0.3">
      <c r="B9" s="90"/>
      <c r="C9" s="93" t="s">
        <v>32</v>
      </c>
      <c r="D9" s="79" t="s">
        <v>30</v>
      </c>
      <c r="E9" s="79"/>
      <c r="F9" s="42"/>
      <c r="G9" s="42"/>
      <c r="H9" s="42"/>
      <c r="I9" s="43"/>
      <c r="J9" s="44"/>
      <c r="K9" s="42"/>
      <c r="L9" s="42"/>
      <c r="M9" s="43"/>
      <c r="N9" s="44"/>
      <c r="O9" s="42"/>
      <c r="P9" s="42"/>
      <c r="Q9" s="43"/>
      <c r="R9" s="28"/>
      <c r="T9" s="12" t="s">
        <v>49</v>
      </c>
    </row>
    <row r="10" spans="2:20" ht="30" customHeight="1" x14ac:dyDescent="0.3">
      <c r="B10" s="90"/>
      <c r="C10" s="93"/>
      <c r="D10" s="95" t="s">
        <v>47</v>
      </c>
      <c r="E10" s="79"/>
      <c r="F10" s="21"/>
      <c r="G10" s="21"/>
      <c r="H10" s="21"/>
      <c r="I10" s="22"/>
      <c r="J10" s="23"/>
      <c r="K10" s="21"/>
      <c r="L10" s="21"/>
      <c r="M10" s="22"/>
      <c r="N10" s="23"/>
      <c r="O10" s="21"/>
      <c r="P10" s="21"/>
      <c r="Q10" s="22"/>
      <c r="R10" s="22"/>
      <c r="T10" s="13"/>
    </row>
    <row r="11" spans="2:20" ht="30" customHeight="1" x14ac:dyDescent="0.3">
      <c r="B11" s="90"/>
      <c r="C11" s="93"/>
      <c r="D11" s="79" t="s">
        <v>31</v>
      </c>
      <c r="E11" s="79"/>
      <c r="F11" s="42"/>
      <c r="G11" s="42"/>
      <c r="H11" s="42"/>
      <c r="I11" s="43"/>
      <c r="J11" s="44"/>
      <c r="K11" s="42"/>
      <c r="L11" s="42"/>
      <c r="M11" s="43"/>
      <c r="N11" s="44"/>
      <c r="O11" s="42"/>
      <c r="P11" s="42"/>
      <c r="Q11" s="43"/>
      <c r="R11" s="28"/>
      <c r="T11" s="13"/>
    </row>
    <row r="12" spans="2:20" ht="30" customHeight="1" x14ac:dyDescent="0.3">
      <c r="B12" s="90"/>
      <c r="C12" s="93"/>
      <c r="D12" s="75" t="s">
        <v>47</v>
      </c>
      <c r="E12" s="76"/>
      <c r="F12" s="21"/>
      <c r="G12" s="21"/>
      <c r="H12" s="21"/>
      <c r="I12" s="22"/>
      <c r="J12" s="23"/>
      <c r="K12" s="21"/>
      <c r="L12" s="21"/>
      <c r="M12" s="22"/>
      <c r="N12" s="23"/>
      <c r="O12" s="21"/>
      <c r="P12" s="21"/>
      <c r="Q12" s="22"/>
      <c r="R12" s="22"/>
      <c r="T12" s="13"/>
    </row>
    <row r="13" spans="2:20" ht="30" customHeight="1" x14ac:dyDescent="0.3">
      <c r="B13" s="90"/>
      <c r="C13" s="77"/>
      <c r="D13" s="79" t="s">
        <v>33</v>
      </c>
      <c r="E13" s="79"/>
      <c r="F13" s="42"/>
      <c r="G13" s="42"/>
      <c r="H13" s="42"/>
      <c r="I13" s="43"/>
      <c r="J13" s="44"/>
      <c r="K13" s="42"/>
      <c r="L13" s="42"/>
      <c r="M13" s="43"/>
      <c r="N13" s="44"/>
      <c r="O13" s="42"/>
      <c r="P13" s="42"/>
      <c r="Q13" s="43"/>
      <c r="R13" s="28"/>
    </row>
    <row r="14" spans="2:20" ht="30" customHeight="1" thickBot="1" x14ac:dyDescent="0.35">
      <c r="B14" s="91"/>
      <c r="C14" s="78"/>
      <c r="D14" s="80" t="s">
        <v>34</v>
      </c>
      <c r="E14" s="80"/>
      <c r="F14" s="45"/>
      <c r="G14" s="45"/>
      <c r="H14" s="45"/>
      <c r="I14" s="46"/>
      <c r="J14" s="47"/>
      <c r="K14" s="45"/>
      <c r="L14" s="45"/>
      <c r="M14" s="46"/>
      <c r="N14" s="47"/>
      <c r="O14" s="45"/>
      <c r="P14" s="45"/>
      <c r="Q14" s="46"/>
      <c r="R14" s="29"/>
    </row>
    <row r="15" spans="2:20" ht="30" customHeight="1" x14ac:dyDescent="0.3">
      <c r="B15" s="89">
        <v>2021</v>
      </c>
      <c r="C15" s="92" t="s">
        <v>29</v>
      </c>
      <c r="D15" s="94" t="s">
        <v>30</v>
      </c>
      <c r="E15" s="94"/>
      <c r="F15" s="48"/>
      <c r="G15" s="48"/>
      <c r="H15" s="48"/>
      <c r="I15" s="49"/>
      <c r="J15" s="50"/>
      <c r="K15" s="48"/>
      <c r="L15" s="48"/>
      <c r="M15" s="49"/>
      <c r="N15" s="50"/>
      <c r="O15" s="48"/>
      <c r="P15" s="48"/>
      <c r="Q15" s="49"/>
      <c r="R15" s="19"/>
      <c r="T15" s="12" t="s">
        <v>50</v>
      </c>
    </row>
    <row r="16" spans="2:20" ht="30" customHeight="1" x14ac:dyDescent="0.3">
      <c r="B16" s="90"/>
      <c r="C16" s="93"/>
      <c r="D16" s="95" t="s">
        <v>47</v>
      </c>
      <c r="E16" s="79"/>
      <c r="F16" s="21"/>
      <c r="G16" s="21"/>
      <c r="H16" s="21"/>
      <c r="I16" s="22"/>
      <c r="J16" s="23"/>
      <c r="K16" s="21"/>
      <c r="L16" s="21"/>
      <c r="M16" s="22"/>
      <c r="N16" s="23"/>
      <c r="O16" s="21"/>
      <c r="P16" s="21"/>
      <c r="Q16" s="22"/>
      <c r="R16" s="22"/>
      <c r="T16" s="13"/>
    </row>
    <row r="17" spans="2:20" ht="30" customHeight="1" x14ac:dyDescent="0.3">
      <c r="B17" s="90"/>
      <c r="C17" s="93"/>
      <c r="D17" s="79" t="s">
        <v>31</v>
      </c>
      <c r="E17" s="79"/>
      <c r="F17" s="51"/>
      <c r="G17" s="51"/>
      <c r="H17" s="51"/>
      <c r="I17" s="52"/>
      <c r="J17" s="53"/>
      <c r="K17" s="51"/>
      <c r="L17" s="51"/>
      <c r="M17" s="52"/>
      <c r="N17" s="53"/>
      <c r="O17" s="51"/>
      <c r="P17" s="51"/>
      <c r="Q17" s="52"/>
      <c r="R17" s="19"/>
      <c r="T17" s="13"/>
    </row>
    <row r="18" spans="2:20" ht="30" customHeight="1" x14ac:dyDescent="0.3">
      <c r="B18" s="90"/>
      <c r="C18" s="93"/>
      <c r="D18" s="75" t="s">
        <v>47</v>
      </c>
      <c r="E18" s="76"/>
      <c r="F18" s="21"/>
      <c r="G18" s="21"/>
      <c r="H18" s="21"/>
      <c r="I18" s="22"/>
      <c r="J18" s="23"/>
      <c r="K18" s="21"/>
      <c r="L18" s="21"/>
      <c r="M18" s="22"/>
      <c r="N18" s="23"/>
      <c r="O18" s="21"/>
      <c r="P18" s="21"/>
      <c r="Q18" s="22"/>
      <c r="R18" s="22"/>
      <c r="T18" s="13"/>
    </row>
    <row r="19" spans="2:20" ht="30" customHeight="1" x14ac:dyDescent="0.3">
      <c r="B19" s="90"/>
      <c r="C19" s="93" t="s">
        <v>32</v>
      </c>
      <c r="D19" s="94" t="s">
        <v>30</v>
      </c>
      <c r="E19" s="94"/>
      <c r="F19" s="48"/>
      <c r="G19" s="48"/>
      <c r="H19" s="48"/>
      <c r="I19" s="49"/>
      <c r="J19" s="50"/>
      <c r="K19" s="48"/>
      <c r="L19" s="48"/>
      <c r="M19" s="49"/>
      <c r="N19" s="50"/>
      <c r="O19" s="48"/>
      <c r="P19" s="48"/>
      <c r="Q19" s="49"/>
      <c r="R19" s="19"/>
      <c r="T19" s="11"/>
    </row>
    <row r="20" spans="2:20" ht="30" customHeight="1" x14ac:dyDescent="0.3">
      <c r="B20" s="90"/>
      <c r="C20" s="93"/>
      <c r="D20" s="95" t="s">
        <v>47</v>
      </c>
      <c r="E20" s="79"/>
      <c r="F20" s="21"/>
      <c r="G20" s="21"/>
      <c r="H20" s="21"/>
      <c r="I20" s="22"/>
      <c r="J20" s="23"/>
      <c r="K20" s="21"/>
      <c r="L20" s="21"/>
      <c r="M20" s="22"/>
      <c r="N20" s="23"/>
      <c r="O20" s="21"/>
      <c r="P20" s="21"/>
      <c r="Q20" s="22"/>
      <c r="R20" s="22"/>
      <c r="T20" s="12" t="s">
        <v>51</v>
      </c>
    </row>
    <row r="21" spans="2:20" ht="30" customHeight="1" x14ac:dyDescent="0.3">
      <c r="B21" s="90"/>
      <c r="C21" s="93"/>
      <c r="D21" s="79" t="s">
        <v>31</v>
      </c>
      <c r="E21" s="79"/>
      <c r="F21" s="51"/>
      <c r="G21" s="51"/>
      <c r="H21" s="51"/>
      <c r="I21" s="52"/>
      <c r="J21" s="53"/>
      <c r="K21" s="51"/>
      <c r="L21" s="51"/>
      <c r="M21" s="52"/>
      <c r="N21" s="53"/>
      <c r="O21" s="51"/>
      <c r="P21" s="51"/>
      <c r="Q21" s="52"/>
      <c r="R21" s="19"/>
      <c r="T21" s="13"/>
    </row>
    <row r="22" spans="2:20" ht="30" customHeight="1" x14ac:dyDescent="0.3">
      <c r="B22" s="90"/>
      <c r="C22" s="93"/>
      <c r="D22" s="75" t="s">
        <v>47</v>
      </c>
      <c r="E22" s="76"/>
      <c r="F22" s="21"/>
      <c r="G22" s="21"/>
      <c r="H22" s="21"/>
      <c r="I22" s="22"/>
      <c r="J22" s="23"/>
      <c r="K22" s="21"/>
      <c r="L22" s="21"/>
      <c r="M22" s="22"/>
      <c r="N22" s="23"/>
      <c r="O22" s="21"/>
      <c r="P22" s="21"/>
      <c r="Q22" s="22"/>
      <c r="R22" s="22"/>
      <c r="T22" s="13"/>
    </row>
    <row r="23" spans="2:20" ht="30" customHeight="1" x14ac:dyDescent="0.3">
      <c r="B23" s="90"/>
      <c r="C23" s="77"/>
      <c r="D23" s="79" t="s">
        <v>33</v>
      </c>
      <c r="E23" s="79"/>
      <c r="F23" s="51"/>
      <c r="G23" s="51"/>
      <c r="H23" s="51"/>
      <c r="I23" s="52"/>
      <c r="J23" s="53"/>
      <c r="K23" s="51"/>
      <c r="L23" s="51"/>
      <c r="M23" s="52"/>
      <c r="N23" s="53"/>
      <c r="O23" s="51"/>
      <c r="P23" s="51"/>
      <c r="Q23" s="52"/>
      <c r="R23" s="19"/>
      <c r="T23" s="13"/>
    </row>
    <row r="24" spans="2:20" ht="30" customHeight="1" thickBot="1" x14ac:dyDescent="0.35">
      <c r="B24" s="91"/>
      <c r="C24" s="78"/>
      <c r="D24" s="80" t="s">
        <v>34</v>
      </c>
      <c r="E24" s="80"/>
      <c r="F24" s="54"/>
      <c r="G24" s="54"/>
      <c r="H24" s="54"/>
      <c r="I24" s="55"/>
      <c r="J24" s="56"/>
      <c r="K24" s="54"/>
      <c r="L24" s="54"/>
      <c r="M24" s="55"/>
      <c r="N24" s="56"/>
      <c r="O24" s="54"/>
      <c r="P24" s="54"/>
      <c r="Q24" s="55"/>
      <c r="R24" s="30"/>
      <c r="T24" s="11"/>
    </row>
    <row r="25" spans="2:20" ht="30" customHeight="1" thickBot="1" x14ac:dyDescent="0.35">
      <c r="B25" s="81" t="s">
        <v>35</v>
      </c>
      <c r="C25" s="82"/>
      <c r="D25" s="87" t="s">
        <v>36</v>
      </c>
      <c r="E25" s="88"/>
      <c r="F25" s="57">
        <f>F5-F15</f>
        <v>0</v>
      </c>
      <c r="G25" s="57">
        <f t="shared" ref="G25:R25" si="0">G5-G15</f>
        <v>0</v>
      </c>
      <c r="H25" s="57">
        <f t="shared" si="0"/>
        <v>0</v>
      </c>
      <c r="I25" s="38">
        <f t="shared" si="0"/>
        <v>0</v>
      </c>
      <c r="J25" s="58">
        <f t="shared" si="0"/>
        <v>0</v>
      </c>
      <c r="K25" s="57">
        <f t="shared" si="0"/>
        <v>0</v>
      </c>
      <c r="L25" s="57">
        <f t="shared" si="0"/>
        <v>0</v>
      </c>
      <c r="M25" s="38">
        <f t="shared" si="0"/>
        <v>0</v>
      </c>
      <c r="N25" s="58">
        <f t="shared" si="0"/>
        <v>0</v>
      </c>
      <c r="O25" s="57">
        <f t="shared" si="0"/>
        <v>0</v>
      </c>
      <c r="P25" s="57">
        <f t="shared" si="0"/>
        <v>0</v>
      </c>
      <c r="Q25" s="38">
        <f t="shared" si="0"/>
        <v>0</v>
      </c>
      <c r="R25" s="59">
        <f t="shared" si="0"/>
        <v>0</v>
      </c>
    </row>
    <row r="26" spans="2:20" ht="30" customHeight="1" thickBot="1" x14ac:dyDescent="0.35">
      <c r="B26" s="83"/>
      <c r="C26" s="84"/>
      <c r="D26" s="87" t="s">
        <v>37</v>
      </c>
      <c r="E26" s="88"/>
      <c r="F26" s="57">
        <f>F9-F19</f>
        <v>0</v>
      </c>
      <c r="G26" s="57">
        <f t="shared" ref="G26:R26" si="1">G9-G19</f>
        <v>0</v>
      </c>
      <c r="H26" s="57">
        <f t="shared" si="1"/>
        <v>0</v>
      </c>
      <c r="I26" s="38">
        <f t="shared" si="1"/>
        <v>0</v>
      </c>
      <c r="J26" s="58">
        <f t="shared" si="1"/>
        <v>0</v>
      </c>
      <c r="K26" s="57">
        <f t="shared" si="1"/>
        <v>0</v>
      </c>
      <c r="L26" s="57">
        <f t="shared" si="1"/>
        <v>0</v>
      </c>
      <c r="M26" s="38">
        <f t="shared" si="1"/>
        <v>0</v>
      </c>
      <c r="N26" s="58">
        <f t="shared" si="1"/>
        <v>0</v>
      </c>
      <c r="O26" s="57">
        <f t="shared" si="1"/>
        <v>0</v>
      </c>
      <c r="P26" s="57">
        <f t="shared" si="1"/>
        <v>0</v>
      </c>
      <c r="Q26" s="38">
        <f t="shared" si="1"/>
        <v>0</v>
      </c>
      <c r="R26" s="59">
        <f t="shared" si="1"/>
        <v>0</v>
      </c>
    </row>
    <row r="27" spans="2:20" ht="30" customHeight="1" thickBot="1" x14ac:dyDescent="0.35">
      <c r="B27" s="83"/>
      <c r="C27" s="84"/>
      <c r="D27" s="87" t="s">
        <v>33</v>
      </c>
      <c r="E27" s="88"/>
      <c r="F27" s="31">
        <f>F13-F23</f>
        <v>0</v>
      </c>
      <c r="G27" s="31">
        <f t="shared" ref="G27:R27" si="2">G13-G23</f>
        <v>0</v>
      </c>
      <c r="H27" s="31">
        <f t="shared" si="2"/>
        <v>0</v>
      </c>
      <c r="I27" s="36">
        <f t="shared" si="2"/>
        <v>0</v>
      </c>
      <c r="J27" s="37">
        <f t="shared" si="2"/>
        <v>0</v>
      </c>
      <c r="K27" s="31">
        <f t="shared" si="2"/>
        <v>0</v>
      </c>
      <c r="L27" s="31">
        <f t="shared" si="2"/>
        <v>0</v>
      </c>
      <c r="M27" s="36">
        <f t="shared" si="2"/>
        <v>0</v>
      </c>
      <c r="N27" s="37">
        <f t="shared" si="2"/>
        <v>0</v>
      </c>
      <c r="O27" s="31">
        <f t="shared" si="2"/>
        <v>0</v>
      </c>
      <c r="P27" s="31">
        <f t="shared" si="2"/>
        <v>0</v>
      </c>
      <c r="Q27" s="36">
        <f t="shared" si="2"/>
        <v>0</v>
      </c>
      <c r="R27" s="32">
        <f t="shared" si="2"/>
        <v>0</v>
      </c>
    </row>
    <row r="28" spans="2:20" ht="30" customHeight="1" thickBot="1" x14ac:dyDescent="0.35">
      <c r="B28" s="85"/>
      <c r="C28" s="86"/>
      <c r="D28" s="87" t="s">
        <v>34</v>
      </c>
      <c r="E28" s="88"/>
      <c r="F28" s="31">
        <f>F14-F24</f>
        <v>0</v>
      </c>
      <c r="G28" s="31">
        <f t="shared" ref="G28:R28" si="3">G14-G24</f>
        <v>0</v>
      </c>
      <c r="H28" s="31">
        <f t="shared" si="3"/>
        <v>0</v>
      </c>
      <c r="I28" s="36">
        <f t="shared" si="3"/>
        <v>0</v>
      </c>
      <c r="J28" s="37">
        <f t="shared" si="3"/>
        <v>0</v>
      </c>
      <c r="K28" s="31">
        <f t="shared" si="3"/>
        <v>0</v>
      </c>
      <c r="L28" s="31">
        <f t="shared" si="3"/>
        <v>0</v>
      </c>
      <c r="M28" s="36">
        <f t="shared" si="3"/>
        <v>0</v>
      </c>
      <c r="N28" s="37">
        <f t="shared" si="3"/>
        <v>0</v>
      </c>
      <c r="O28" s="31">
        <f t="shared" si="3"/>
        <v>0</v>
      </c>
      <c r="P28" s="31">
        <f t="shared" si="3"/>
        <v>0</v>
      </c>
      <c r="Q28" s="36">
        <f t="shared" si="3"/>
        <v>0</v>
      </c>
      <c r="R28" s="32">
        <f t="shared" si="3"/>
        <v>0</v>
      </c>
    </row>
  </sheetData>
  <mergeCells count="35">
    <mergeCell ref="C13:C14"/>
    <mergeCell ref="D13:E13"/>
    <mergeCell ref="D14:E14"/>
    <mergeCell ref="B1:R1"/>
    <mergeCell ref="B4:E4"/>
    <mergeCell ref="B5:B14"/>
    <mergeCell ref="C5:C8"/>
    <mergeCell ref="D5:E5"/>
    <mergeCell ref="D6:E6"/>
    <mergeCell ref="D7:E7"/>
    <mergeCell ref="D8:E8"/>
    <mergeCell ref="C9:C12"/>
    <mergeCell ref="D9:E9"/>
    <mergeCell ref="D19:E19"/>
    <mergeCell ref="D20:E20"/>
    <mergeCell ref="D21:E21"/>
    <mergeCell ref="D10:E10"/>
    <mergeCell ref="D11:E11"/>
    <mergeCell ref="D12:E12"/>
    <mergeCell ref="D22:E22"/>
    <mergeCell ref="C23:C24"/>
    <mergeCell ref="D23:E23"/>
    <mergeCell ref="D24:E24"/>
    <mergeCell ref="B25:C28"/>
    <mergeCell ref="D25:E25"/>
    <mergeCell ref="D26:E26"/>
    <mergeCell ref="D27:E27"/>
    <mergeCell ref="D28:E28"/>
    <mergeCell ref="B15:B24"/>
    <mergeCell ref="C15:C18"/>
    <mergeCell ref="D15:E15"/>
    <mergeCell ref="D16:E16"/>
    <mergeCell ref="D17:E17"/>
    <mergeCell ref="D18:E18"/>
    <mergeCell ref="C19:C22"/>
  </mergeCells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FF271-D140-47F5-9196-B0B54B474DFD}">
  <sheetPr codeName="Sheet4"/>
  <dimension ref="A1:T22"/>
  <sheetViews>
    <sheetView zoomScale="70" zoomScaleNormal="70" workbookViewId="0"/>
  </sheetViews>
  <sheetFormatPr defaultColWidth="9" defaultRowHeight="16.5" x14ac:dyDescent="0.3"/>
  <cols>
    <col min="1" max="1" width="1.75" style="7" customWidth="1"/>
    <col min="2" max="3" width="4.875" style="7" customWidth="1"/>
    <col min="4" max="5" width="9" style="7"/>
    <col min="6" max="18" width="15.75" style="7" customWidth="1"/>
    <col min="19" max="19" width="9" style="7"/>
    <col min="20" max="20" width="20.625" style="39" customWidth="1"/>
    <col min="21" max="16384" width="9" style="7"/>
  </cols>
  <sheetData>
    <row r="1" spans="1:20" s="6" customFormat="1" ht="34.15" customHeight="1" thickBot="1" x14ac:dyDescent="0.35">
      <c r="A1" s="14"/>
      <c r="B1" s="96" t="s">
        <v>38</v>
      </c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8"/>
      <c r="T1" s="40" t="s">
        <v>14</v>
      </c>
    </row>
    <row r="2" spans="1:20" ht="34.15" customHeight="1" x14ac:dyDescent="0.3">
      <c r="T2" s="41" t="s">
        <v>15</v>
      </c>
    </row>
    <row r="3" spans="1:20" ht="34.15" customHeight="1" thickBot="1" x14ac:dyDescent="0.35"/>
    <row r="4" spans="1:20" ht="30" customHeight="1" x14ac:dyDescent="0.3">
      <c r="B4" s="99" t="s">
        <v>39</v>
      </c>
      <c r="C4" s="103"/>
      <c r="D4" s="104"/>
      <c r="E4" s="104"/>
      <c r="F4" s="8" t="s">
        <v>16</v>
      </c>
      <c r="G4" s="8" t="s">
        <v>17</v>
      </c>
      <c r="H4" s="8" t="s">
        <v>18</v>
      </c>
      <c r="I4" s="9" t="s">
        <v>19</v>
      </c>
      <c r="J4" s="10" t="s">
        <v>20</v>
      </c>
      <c r="K4" s="8" t="s">
        <v>21</v>
      </c>
      <c r="L4" s="8" t="s">
        <v>22</v>
      </c>
      <c r="M4" s="9" t="s">
        <v>23</v>
      </c>
      <c r="N4" s="10" t="s">
        <v>24</v>
      </c>
      <c r="O4" s="8" t="s">
        <v>25</v>
      </c>
      <c r="P4" s="8" t="s">
        <v>26</v>
      </c>
      <c r="Q4" s="9" t="s">
        <v>27</v>
      </c>
      <c r="R4" s="9" t="s">
        <v>28</v>
      </c>
      <c r="S4" s="11"/>
      <c r="T4" s="12" t="s">
        <v>48</v>
      </c>
    </row>
    <row r="5" spans="1:20" ht="30" customHeight="1" x14ac:dyDescent="0.3">
      <c r="B5" s="102">
        <v>2022</v>
      </c>
      <c r="C5" s="93" t="s">
        <v>29</v>
      </c>
      <c r="D5" s="79" t="s">
        <v>30</v>
      </c>
      <c r="E5" s="79"/>
      <c r="F5" s="18"/>
      <c r="G5" s="18"/>
      <c r="H5" s="18"/>
      <c r="I5" s="19"/>
      <c r="J5" s="20"/>
      <c r="K5" s="18"/>
      <c r="L5" s="18"/>
      <c r="M5" s="19"/>
      <c r="N5" s="20"/>
      <c r="O5" s="18"/>
      <c r="P5" s="18"/>
      <c r="Q5" s="19"/>
      <c r="R5" s="19"/>
      <c r="T5" s="13"/>
    </row>
    <row r="6" spans="1:20" ht="30" customHeight="1" x14ac:dyDescent="0.3">
      <c r="B6" s="90"/>
      <c r="C6" s="93"/>
      <c r="D6" s="95" t="s">
        <v>47</v>
      </c>
      <c r="E6" s="79"/>
      <c r="F6" s="21"/>
      <c r="G6" s="21"/>
      <c r="H6" s="21"/>
      <c r="I6" s="22"/>
      <c r="J6" s="23"/>
      <c r="K6" s="21"/>
      <c r="L6" s="21"/>
      <c r="M6" s="22"/>
      <c r="N6" s="23"/>
      <c r="O6" s="21"/>
      <c r="P6" s="21"/>
      <c r="Q6" s="22"/>
      <c r="R6" s="22"/>
      <c r="T6" s="13"/>
    </row>
    <row r="7" spans="1:20" ht="30" customHeight="1" x14ac:dyDescent="0.3">
      <c r="B7" s="90"/>
      <c r="C7" s="93"/>
      <c r="D7" s="79" t="s">
        <v>31</v>
      </c>
      <c r="E7" s="79"/>
      <c r="F7" s="18"/>
      <c r="G7" s="18"/>
      <c r="H7" s="18"/>
      <c r="I7" s="19"/>
      <c r="J7" s="20"/>
      <c r="K7" s="18"/>
      <c r="L7" s="18"/>
      <c r="M7" s="19"/>
      <c r="N7" s="20"/>
      <c r="O7" s="18"/>
      <c r="P7" s="18"/>
      <c r="Q7" s="19"/>
      <c r="R7" s="19"/>
      <c r="T7" s="13"/>
    </row>
    <row r="8" spans="1:20" ht="30" customHeight="1" x14ac:dyDescent="0.3">
      <c r="B8" s="90"/>
      <c r="C8" s="93"/>
      <c r="D8" s="75" t="s">
        <v>47</v>
      </c>
      <c r="E8" s="76"/>
      <c r="F8" s="21"/>
      <c r="G8" s="21"/>
      <c r="H8" s="21"/>
      <c r="I8" s="22"/>
      <c r="J8" s="23"/>
      <c r="K8" s="21"/>
      <c r="L8" s="21"/>
      <c r="M8" s="22"/>
      <c r="N8" s="23"/>
      <c r="O8" s="21"/>
      <c r="P8" s="21"/>
      <c r="Q8" s="22"/>
      <c r="R8" s="22"/>
      <c r="T8" s="11"/>
    </row>
    <row r="9" spans="1:20" ht="30" customHeight="1" x14ac:dyDescent="0.3">
      <c r="B9" s="90"/>
      <c r="C9" s="93" t="s">
        <v>32</v>
      </c>
      <c r="D9" s="79" t="s">
        <v>30</v>
      </c>
      <c r="E9" s="79"/>
      <c r="F9" s="18"/>
      <c r="G9" s="18"/>
      <c r="H9" s="18"/>
      <c r="I9" s="19"/>
      <c r="J9" s="20"/>
      <c r="K9" s="18"/>
      <c r="L9" s="18"/>
      <c r="M9" s="19"/>
      <c r="N9" s="20"/>
      <c r="O9" s="18"/>
      <c r="P9" s="18"/>
      <c r="Q9" s="19"/>
      <c r="R9" s="19"/>
      <c r="T9" s="12" t="s">
        <v>49</v>
      </c>
    </row>
    <row r="10" spans="1:20" ht="30" customHeight="1" x14ac:dyDescent="0.3">
      <c r="B10" s="90"/>
      <c r="C10" s="93"/>
      <c r="D10" s="95" t="s">
        <v>47</v>
      </c>
      <c r="E10" s="79"/>
      <c r="F10" s="21"/>
      <c r="G10" s="21"/>
      <c r="H10" s="21"/>
      <c r="I10" s="22"/>
      <c r="J10" s="23"/>
      <c r="K10" s="21"/>
      <c r="L10" s="21"/>
      <c r="M10" s="22"/>
      <c r="N10" s="23"/>
      <c r="O10" s="21"/>
      <c r="P10" s="21"/>
      <c r="Q10" s="22"/>
      <c r="R10" s="22"/>
      <c r="T10" s="13"/>
    </row>
    <row r="11" spans="1:20" ht="30" customHeight="1" x14ac:dyDescent="0.3">
      <c r="B11" s="90"/>
      <c r="C11" s="93"/>
      <c r="D11" s="79" t="s">
        <v>31</v>
      </c>
      <c r="E11" s="79"/>
      <c r="F11" s="18"/>
      <c r="G11" s="18"/>
      <c r="H11" s="18"/>
      <c r="I11" s="19"/>
      <c r="J11" s="20"/>
      <c r="K11" s="18"/>
      <c r="L11" s="18"/>
      <c r="M11" s="19"/>
      <c r="N11" s="20"/>
      <c r="O11" s="18"/>
      <c r="P11" s="18"/>
      <c r="Q11" s="19"/>
      <c r="R11" s="19"/>
      <c r="T11" s="13"/>
    </row>
    <row r="12" spans="1:20" ht="30" customHeight="1" thickBot="1" x14ac:dyDescent="0.35">
      <c r="B12" s="90"/>
      <c r="C12" s="93"/>
      <c r="D12" s="105" t="s">
        <v>47</v>
      </c>
      <c r="E12" s="105"/>
      <c r="F12" s="33"/>
      <c r="G12" s="33"/>
      <c r="H12" s="33"/>
      <c r="I12" s="34"/>
      <c r="J12" s="35"/>
      <c r="K12" s="33"/>
      <c r="L12" s="33"/>
      <c r="M12" s="34"/>
      <c r="N12" s="35"/>
      <c r="O12" s="33"/>
      <c r="P12" s="33"/>
      <c r="Q12" s="34"/>
      <c r="R12" s="34"/>
      <c r="T12" s="13"/>
    </row>
    <row r="13" spans="1:20" ht="30" customHeight="1" x14ac:dyDescent="0.3">
      <c r="B13" s="89">
        <v>2021</v>
      </c>
      <c r="C13" s="92" t="s">
        <v>29</v>
      </c>
      <c r="D13" s="94" t="s">
        <v>30</v>
      </c>
      <c r="E13" s="94"/>
      <c r="F13" s="25"/>
      <c r="G13" s="25"/>
      <c r="H13" s="25"/>
      <c r="I13" s="26"/>
      <c r="J13" s="27"/>
      <c r="K13" s="25"/>
      <c r="L13" s="25"/>
      <c r="M13" s="26"/>
      <c r="N13" s="27"/>
      <c r="O13" s="25"/>
      <c r="P13" s="25"/>
      <c r="Q13" s="26"/>
      <c r="R13" s="26"/>
    </row>
    <row r="14" spans="1:20" ht="30" customHeight="1" x14ac:dyDescent="0.3">
      <c r="B14" s="90"/>
      <c r="C14" s="93"/>
      <c r="D14" s="95" t="s">
        <v>47</v>
      </c>
      <c r="E14" s="79"/>
      <c r="F14" s="21"/>
      <c r="G14" s="21"/>
      <c r="H14" s="21"/>
      <c r="I14" s="22"/>
      <c r="J14" s="23"/>
      <c r="K14" s="21"/>
      <c r="L14" s="21"/>
      <c r="M14" s="22"/>
      <c r="N14" s="23"/>
      <c r="O14" s="21"/>
      <c r="P14" s="21"/>
      <c r="Q14" s="22"/>
      <c r="R14" s="22"/>
      <c r="T14" s="12" t="s">
        <v>50</v>
      </c>
    </row>
    <row r="15" spans="1:20" ht="30" customHeight="1" x14ac:dyDescent="0.3">
      <c r="B15" s="90"/>
      <c r="C15" s="93"/>
      <c r="D15" s="79" t="s">
        <v>31</v>
      </c>
      <c r="E15" s="79"/>
      <c r="F15" s="18"/>
      <c r="G15" s="18"/>
      <c r="H15" s="18"/>
      <c r="I15" s="19"/>
      <c r="J15" s="20"/>
      <c r="K15" s="18"/>
      <c r="L15" s="18"/>
      <c r="M15" s="19"/>
      <c r="N15" s="20"/>
      <c r="O15" s="18"/>
      <c r="P15" s="18"/>
      <c r="Q15" s="19"/>
      <c r="R15" s="19"/>
      <c r="T15" s="13"/>
    </row>
    <row r="16" spans="1:20" ht="30" customHeight="1" x14ac:dyDescent="0.3">
      <c r="B16" s="90"/>
      <c r="C16" s="93"/>
      <c r="D16" s="75" t="s">
        <v>47</v>
      </c>
      <c r="E16" s="76"/>
      <c r="F16" s="21"/>
      <c r="G16" s="21"/>
      <c r="H16" s="21"/>
      <c r="I16" s="22"/>
      <c r="J16" s="23"/>
      <c r="K16" s="21"/>
      <c r="L16" s="21"/>
      <c r="M16" s="22"/>
      <c r="N16" s="23"/>
      <c r="O16" s="21"/>
      <c r="P16" s="21"/>
      <c r="Q16" s="22"/>
      <c r="R16" s="22"/>
      <c r="T16" s="13"/>
    </row>
    <row r="17" spans="2:20" ht="30" customHeight="1" x14ac:dyDescent="0.3">
      <c r="B17" s="90"/>
      <c r="C17" s="93" t="s">
        <v>32</v>
      </c>
      <c r="D17" s="94" t="s">
        <v>30</v>
      </c>
      <c r="E17" s="94"/>
      <c r="F17" s="25"/>
      <c r="G17" s="25"/>
      <c r="H17" s="25"/>
      <c r="I17" s="26"/>
      <c r="J17" s="27"/>
      <c r="K17" s="25"/>
      <c r="L17" s="25"/>
      <c r="M17" s="26"/>
      <c r="N17" s="27"/>
      <c r="O17" s="25"/>
      <c r="P17" s="25"/>
      <c r="Q17" s="26"/>
      <c r="R17" s="19"/>
      <c r="T17" s="13"/>
    </row>
    <row r="18" spans="2:20" ht="30" customHeight="1" x14ac:dyDescent="0.3">
      <c r="B18" s="90"/>
      <c r="C18" s="93"/>
      <c r="D18" s="95" t="s">
        <v>47</v>
      </c>
      <c r="E18" s="79"/>
      <c r="F18" s="21"/>
      <c r="G18" s="21"/>
      <c r="H18" s="21"/>
      <c r="I18" s="22"/>
      <c r="J18" s="23"/>
      <c r="K18" s="21"/>
      <c r="L18" s="21"/>
      <c r="M18" s="22"/>
      <c r="N18" s="23"/>
      <c r="O18" s="21"/>
      <c r="P18" s="21"/>
      <c r="Q18" s="22"/>
      <c r="R18" s="22"/>
      <c r="T18" s="11"/>
    </row>
    <row r="19" spans="2:20" ht="30" customHeight="1" x14ac:dyDescent="0.3">
      <c r="B19" s="90"/>
      <c r="C19" s="93"/>
      <c r="D19" s="79" t="s">
        <v>31</v>
      </c>
      <c r="E19" s="79"/>
      <c r="F19" s="18"/>
      <c r="G19" s="18"/>
      <c r="H19" s="18"/>
      <c r="I19" s="19"/>
      <c r="J19" s="20"/>
      <c r="K19" s="18"/>
      <c r="L19" s="18"/>
      <c r="M19" s="19"/>
      <c r="N19" s="20"/>
      <c r="O19" s="18"/>
      <c r="P19" s="18"/>
      <c r="Q19" s="19"/>
      <c r="R19" s="19"/>
      <c r="T19" s="12" t="s">
        <v>51</v>
      </c>
    </row>
    <row r="20" spans="2:20" ht="30" customHeight="1" thickBot="1" x14ac:dyDescent="0.35">
      <c r="B20" s="90"/>
      <c r="C20" s="93"/>
      <c r="D20" s="75" t="s">
        <v>47</v>
      </c>
      <c r="E20" s="76"/>
      <c r="F20" s="21"/>
      <c r="G20" s="21"/>
      <c r="H20" s="21"/>
      <c r="I20" s="22"/>
      <c r="J20" s="23"/>
      <c r="K20" s="21"/>
      <c r="L20" s="21"/>
      <c r="M20" s="22"/>
      <c r="N20" s="23"/>
      <c r="O20" s="21"/>
      <c r="P20" s="21"/>
      <c r="Q20" s="22"/>
      <c r="R20" s="22"/>
      <c r="T20" s="13"/>
    </row>
    <row r="21" spans="2:20" ht="30" customHeight="1" thickBot="1" x14ac:dyDescent="0.35">
      <c r="B21" s="81" t="s">
        <v>35</v>
      </c>
      <c r="C21" s="82"/>
      <c r="D21" s="87" t="s">
        <v>36</v>
      </c>
      <c r="E21" s="88"/>
      <c r="F21" s="31">
        <f>F5-F13</f>
        <v>0</v>
      </c>
      <c r="G21" s="31">
        <f t="shared" ref="G21:R21" si="0">G5-G13</f>
        <v>0</v>
      </c>
      <c r="H21" s="31">
        <f t="shared" si="0"/>
        <v>0</v>
      </c>
      <c r="I21" s="36">
        <f t="shared" si="0"/>
        <v>0</v>
      </c>
      <c r="J21" s="37">
        <f t="shared" si="0"/>
        <v>0</v>
      </c>
      <c r="K21" s="31">
        <f t="shared" si="0"/>
        <v>0</v>
      </c>
      <c r="L21" s="31">
        <f t="shared" si="0"/>
        <v>0</v>
      </c>
      <c r="M21" s="31">
        <f t="shared" si="0"/>
        <v>0</v>
      </c>
      <c r="N21" s="31">
        <f t="shared" si="0"/>
        <v>0</v>
      </c>
      <c r="O21" s="31">
        <f t="shared" si="0"/>
        <v>0</v>
      </c>
      <c r="P21" s="31">
        <f t="shared" si="0"/>
        <v>0</v>
      </c>
      <c r="Q21" s="31">
        <f t="shared" si="0"/>
        <v>0</v>
      </c>
      <c r="R21" s="31">
        <f t="shared" si="0"/>
        <v>0</v>
      </c>
      <c r="T21" s="13"/>
    </row>
    <row r="22" spans="2:20" ht="30" customHeight="1" thickBot="1" x14ac:dyDescent="0.35">
      <c r="B22" s="85"/>
      <c r="C22" s="86"/>
      <c r="D22" s="87" t="s">
        <v>37</v>
      </c>
      <c r="E22" s="88"/>
      <c r="F22" s="31">
        <f>F9-F17</f>
        <v>0</v>
      </c>
      <c r="G22" s="31">
        <f t="shared" ref="G22:R22" si="1">G9-G17</f>
        <v>0</v>
      </c>
      <c r="H22" s="31">
        <f t="shared" si="1"/>
        <v>0</v>
      </c>
      <c r="I22" s="36">
        <f t="shared" si="1"/>
        <v>0</v>
      </c>
      <c r="J22" s="37">
        <f t="shared" si="1"/>
        <v>0</v>
      </c>
      <c r="K22" s="31">
        <f t="shared" si="1"/>
        <v>0</v>
      </c>
      <c r="L22" s="31">
        <f t="shared" si="1"/>
        <v>0</v>
      </c>
      <c r="M22" s="31">
        <f t="shared" si="1"/>
        <v>0</v>
      </c>
      <c r="N22" s="31">
        <f t="shared" si="1"/>
        <v>0</v>
      </c>
      <c r="O22" s="31">
        <f t="shared" si="1"/>
        <v>0</v>
      </c>
      <c r="P22" s="31">
        <f t="shared" si="1"/>
        <v>0</v>
      </c>
      <c r="Q22" s="31">
        <f t="shared" si="1"/>
        <v>0</v>
      </c>
      <c r="R22" s="31">
        <f t="shared" si="1"/>
        <v>0</v>
      </c>
      <c r="T22" s="13"/>
    </row>
  </sheetData>
  <mergeCells count="27">
    <mergeCell ref="B1:R1"/>
    <mergeCell ref="B4:E4"/>
    <mergeCell ref="B5:B12"/>
    <mergeCell ref="C5:C8"/>
    <mergeCell ref="D5:E5"/>
    <mergeCell ref="D6:E6"/>
    <mergeCell ref="D7:E7"/>
    <mergeCell ref="D8:E8"/>
    <mergeCell ref="C9:C12"/>
    <mergeCell ref="D9:E9"/>
    <mergeCell ref="D10:E10"/>
    <mergeCell ref="D11:E11"/>
    <mergeCell ref="D12:E12"/>
    <mergeCell ref="B21:C22"/>
    <mergeCell ref="D21:E21"/>
    <mergeCell ref="D22:E22"/>
    <mergeCell ref="B13:B20"/>
    <mergeCell ref="C13:C16"/>
    <mergeCell ref="D13:E13"/>
    <mergeCell ref="D14:E14"/>
    <mergeCell ref="D15:E15"/>
    <mergeCell ref="D16:E16"/>
    <mergeCell ref="C17:C20"/>
    <mergeCell ref="D17:E17"/>
    <mergeCell ref="D18:E18"/>
    <mergeCell ref="D19:E19"/>
    <mergeCell ref="D20:E20"/>
  </mergeCells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test</vt:lpstr>
      <vt:lpstr>환율조회</vt:lpstr>
      <vt:lpstr>용어설명</vt:lpstr>
      <vt:lpstr>국가 수출입</vt:lpstr>
      <vt:lpstr>품목 수출입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dexter yang</cp:lastModifiedBy>
  <dcterms:created xsi:type="dcterms:W3CDTF">2015-06-05T18:19:34Z</dcterms:created>
  <dcterms:modified xsi:type="dcterms:W3CDTF">2024-12-17T08:45:25Z</dcterms:modified>
</cp:coreProperties>
</file>